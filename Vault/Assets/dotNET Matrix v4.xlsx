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elekscloud.sharepoint.com/sites/SEDO-dotnetcm/Shared Documents/Assessment/"/>
    </mc:Choice>
  </mc:AlternateContent>
  <xr:revisionPtr revIDLastSave="0" documentId="8_{7D0B045D-669D-4EC9-8080-20EF83624E75}" xr6:coauthVersionLast="47" xr6:coauthVersionMax="47" xr10:uidLastSave="{00000000-0000-0000-0000-000000000000}"/>
  <bookViews>
    <workbookView xWindow="-110" yWindow="-110" windowWidth="19420" windowHeight="11500" xr2:uid="{9674D2BB-212C-4EB6-8688-06D595FF130B}"/>
  </bookViews>
  <sheets>
    <sheet name="main" sheetId="1" r:id="rId1"/>
    <sheet name="group" sheetId="3" r:id="rId2"/>
    <sheet name="-- by Spec --&gt;" sheetId="7" r:id="rId3"/>
    <sheet name="Mobile" sheetId="10" r:id="rId4"/>
    <sheet name="Desktop" sheetId="4" r:id="rId5"/>
    <sheet name="Web" sheetId="9" r:id="rId6"/>
  </sheets>
  <definedNames>
    <definedName name="_xlnm._FilterDatabase" localSheetId="4" hidden="1">Desktop!$B$2:$H$79</definedName>
    <definedName name="_xlnm._FilterDatabase" localSheetId="3" hidden="1">Mobile!$B$2:$H$77</definedName>
    <definedName name="_xlnm._FilterDatabase" localSheetId="5" hidden="1">Web!$B$2:$H$92</definedName>
    <definedName name="ExternalData_1" localSheetId="1" hidden="1">group!$B$2:$G$103</definedName>
    <definedName name="Slicer_Category">#N/A</definedName>
    <definedName name="Slicer_Spec">#N/A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a="1"/>
  <c r="H3" i="3"/>
  <c r="H4" i="3" a="1"/>
  <c r="H4" i="3"/>
  <c r="H5" i="3" a="1"/>
  <c r="H5" i="3"/>
  <c r="H6" i="3" a="1"/>
  <c r="H6" i="3"/>
  <c r="H7" i="3" a="1"/>
  <c r="H7" i="3"/>
  <c r="H8" i="3" a="1"/>
  <c r="H8" i="3"/>
  <c r="H9" i="3" a="1"/>
  <c r="H9" i="3"/>
  <c r="H10" i="3" a="1"/>
  <c r="H10" i="3"/>
  <c r="H11" i="3" a="1"/>
  <c r="H11" i="3"/>
  <c r="H12" i="3" a="1"/>
  <c r="H12" i="3"/>
  <c r="H13" i="3" a="1"/>
  <c r="H13" i="3"/>
  <c r="H14" i="3" a="1"/>
  <c r="H14" i="3"/>
  <c r="H15" i="3" a="1"/>
  <c r="H15" i="3"/>
  <c r="H16" i="3" a="1"/>
  <c r="H16" i="3"/>
  <c r="H17" i="3" a="1"/>
  <c r="H17" i="3"/>
  <c r="H18" i="3" a="1"/>
  <c r="H18" i="3"/>
  <c r="H19" i="3" a="1"/>
  <c r="H19" i="3"/>
  <c r="H20" i="3" a="1"/>
  <c r="H20" i="3"/>
  <c r="H21" i="3" a="1"/>
  <c r="H21" i="3"/>
  <c r="H22" i="3" a="1"/>
  <c r="H22" i="3"/>
  <c r="H23" i="3" a="1"/>
  <c r="H23" i="3"/>
  <c r="H24" i="3" a="1"/>
  <c r="H24" i="3"/>
  <c r="H25" i="3" a="1"/>
  <c r="H25" i="3"/>
  <c r="H26" i="3" a="1"/>
  <c r="H26" i="3"/>
  <c r="H27" i="3" a="1"/>
  <c r="H27" i="3"/>
  <c r="H28" i="3" a="1"/>
  <c r="H28" i="3"/>
  <c r="H29" i="3" a="1"/>
  <c r="H29" i="3"/>
  <c r="H30" i="3" a="1"/>
  <c r="H30" i="3"/>
  <c r="H31" i="3" a="1"/>
  <c r="H31" i="3"/>
  <c r="H32" i="3" a="1"/>
  <c r="H32" i="3"/>
  <c r="H33" i="3" a="1"/>
  <c r="H33" i="3"/>
  <c r="H34" i="3" a="1"/>
  <c r="H34" i="3"/>
  <c r="H35" i="3" a="1"/>
  <c r="H35" i="3"/>
  <c r="H36" i="3" a="1"/>
  <c r="H36" i="3"/>
  <c r="H37" i="3" a="1"/>
  <c r="H37" i="3"/>
  <c r="H38" i="3" a="1"/>
  <c r="H38" i="3"/>
  <c r="H39" i="3" a="1"/>
  <c r="H39" i="3"/>
  <c r="H40" i="3" a="1"/>
  <c r="H40" i="3"/>
  <c r="H41" i="3" a="1"/>
  <c r="H41" i="3"/>
  <c r="H42" i="3" a="1"/>
  <c r="H42" i="3"/>
  <c r="H43" i="3" a="1"/>
  <c r="H43" i="3"/>
  <c r="H44" i="3" a="1"/>
  <c r="H44" i="3"/>
  <c r="H45" i="3" a="1"/>
  <c r="H45" i="3"/>
  <c r="H46" i="3" a="1"/>
  <c r="H46" i="3"/>
  <c r="H47" i="3" a="1"/>
  <c r="H47" i="3"/>
  <c r="H48" i="3" a="1"/>
  <c r="H48" i="3"/>
  <c r="H49" i="3" a="1"/>
  <c r="H49" i="3"/>
  <c r="H50" i="3" a="1"/>
  <c r="H50" i="3"/>
  <c r="H51" i="3" a="1"/>
  <c r="H51" i="3"/>
  <c r="H52" i="3" a="1"/>
  <c r="H52" i="3"/>
  <c r="H53" i="3" a="1"/>
  <c r="H53" i="3"/>
  <c r="H54" i="3" a="1"/>
  <c r="H54" i="3"/>
  <c r="H55" i="3" a="1"/>
  <c r="H55" i="3"/>
  <c r="H56" i="3" a="1"/>
  <c r="H56" i="3"/>
  <c r="H57" i="3" a="1"/>
  <c r="H57" i="3"/>
  <c r="H58" i="3" a="1"/>
  <c r="H58" i="3"/>
  <c r="H59" i="3" a="1"/>
  <c r="H59" i="3"/>
  <c r="H60" i="3" a="1"/>
  <c r="H60" i="3"/>
  <c r="H61" i="3" a="1"/>
  <c r="H61" i="3"/>
  <c r="H62" i="3" a="1"/>
  <c r="H62" i="3"/>
  <c r="H63" i="3" a="1"/>
  <c r="H63" i="3"/>
  <c r="H64" i="3" a="1"/>
  <c r="H64" i="3"/>
  <c r="H65" i="3" a="1"/>
  <c r="H65" i="3"/>
  <c r="H66" i="3" a="1"/>
  <c r="H66" i="3"/>
  <c r="H67" i="3" a="1"/>
  <c r="H67" i="3"/>
  <c r="H68" i="3" a="1"/>
  <c r="H68" i="3"/>
  <c r="H69" i="3" a="1"/>
  <c r="H69" i="3"/>
  <c r="H70" i="3" a="1"/>
  <c r="H70" i="3"/>
  <c r="H71" i="3" a="1"/>
  <c r="H71" i="3"/>
  <c r="H72" i="3" a="1"/>
  <c r="H72" i="3"/>
  <c r="H73" i="3" a="1"/>
  <c r="H73" i="3"/>
  <c r="H74" i="3" a="1"/>
  <c r="H74" i="3"/>
  <c r="H75" i="3" a="1"/>
  <c r="H75" i="3"/>
  <c r="H76" i="3" a="1"/>
  <c r="H76" i="3"/>
  <c r="H77" i="3" a="1"/>
  <c r="H77" i="3"/>
  <c r="H78" i="3" a="1"/>
  <c r="H78" i="3"/>
  <c r="H79" i="3" a="1"/>
  <c r="H79" i="3"/>
  <c r="H80" i="3" a="1"/>
  <c r="H80" i="3"/>
  <c r="H81" i="3" a="1"/>
  <c r="H81" i="3"/>
  <c r="H82" i="3" a="1"/>
  <c r="H82" i="3"/>
  <c r="H83" i="3" a="1"/>
  <c r="H83" i="3"/>
  <c r="H84" i="3" a="1"/>
  <c r="H84" i="3"/>
  <c r="H85" i="3" a="1"/>
  <c r="H85" i="3"/>
  <c r="H86" i="3" a="1"/>
  <c r="H86" i="3"/>
  <c r="H87" i="3" a="1"/>
  <c r="H87" i="3"/>
  <c r="H88" i="3" a="1"/>
  <c r="H88" i="3"/>
  <c r="H89" i="3" a="1"/>
  <c r="H89" i="3"/>
  <c r="H90" i="3" a="1"/>
  <c r="H90" i="3"/>
  <c r="H91" i="3" a="1"/>
  <c r="H91" i="3"/>
  <c r="H92" i="3" a="1"/>
  <c r="H92" i="3"/>
  <c r="H93" i="3" a="1"/>
  <c r="H93" i="3"/>
  <c r="H94" i="3" a="1"/>
  <c r="H94" i="3"/>
  <c r="H95" i="3" a="1"/>
  <c r="H95" i="3"/>
  <c r="H96" i="3" a="1"/>
  <c r="H96" i="3"/>
  <c r="H97" i="3" a="1"/>
  <c r="H97" i="3"/>
  <c r="H98" i="3" a="1"/>
  <c r="H98" i="3"/>
  <c r="H99" i="3" a="1"/>
  <c r="H99" i="3"/>
  <c r="H100" i="3" a="1"/>
  <c r="H100" i="3"/>
  <c r="H101" i="3" a="1"/>
  <c r="H101" i="3"/>
  <c r="H102" i="3" a="1"/>
  <c r="H102" i="3"/>
  <c r="H103" i="3" a="1"/>
  <c r="H103" i="3"/>
  <c r="I3" i="3" a="1"/>
  <c r="I3" i="3"/>
  <c r="I4" i="3" a="1"/>
  <c r="I4" i="3"/>
  <c r="I5" i="3" a="1"/>
  <c r="I5" i="3"/>
  <c r="I6" i="3" a="1"/>
  <c r="I6" i="3"/>
  <c r="I7" i="3" a="1"/>
  <c r="I7" i="3"/>
  <c r="I8" i="3" a="1"/>
  <c r="I8" i="3"/>
  <c r="I9" i="3" a="1"/>
  <c r="I9" i="3"/>
  <c r="I10" i="3" a="1"/>
  <c r="I10" i="3"/>
  <c r="I11" i="3" a="1"/>
  <c r="I11" i="3"/>
  <c r="I12" i="3" a="1"/>
  <c r="I12" i="3"/>
  <c r="I13" i="3" a="1"/>
  <c r="I13" i="3"/>
  <c r="I14" i="3" a="1"/>
  <c r="I14" i="3"/>
  <c r="I15" i="3" a="1"/>
  <c r="I15" i="3"/>
  <c r="I16" i="3" a="1"/>
  <c r="I16" i="3"/>
  <c r="I17" i="3" a="1"/>
  <c r="I17" i="3"/>
  <c r="I18" i="3" a="1"/>
  <c r="I18" i="3"/>
  <c r="I19" i="3" a="1"/>
  <c r="I19" i="3"/>
  <c r="I20" i="3" a="1"/>
  <c r="I20" i="3"/>
  <c r="I21" i="3" a="1"/>
  <c r="I21" i="3"/>
  <c r="I22" i="3" a="1"/>
  <c r="I22" i="3"/>
  <c r="I23" i="3" a="1"/>
  <c r="I23" i="3"/>
  <c r="I24" i="3" a="1"/>
  <c r="I24" i="3"/>
  <c r="I25" i="3" a="1"/>
  <c r="I25" i="3"/>
  <c r="I26" i="3" a="1"/>
  <c r="I26" i="3"/>
  <c r="I27" i="3" a="1"/>
  <c r="I27" i="3"/>
  <c r="I28" i="3" a="1"/>
  <c r="I28" i="3"/>
  <c r="I29" i="3" a="1"/>
  <c r="I29" i="3"/>
  <c r="I30" i="3" a="1"/>
  <c r="I30" i="3"/>
  <c r="I31" i="3" a="1"/>
  <c r="I31" i="3"/>
  <c r="I32" i="3" a="1"/>
  <c r="I32" i="3"/>
  <c r="I33" i="3" a="1"/>
  <c r="I33" i="3"/>
  <c r="I34" i="3" a="1"/>
  <c r="I34" i="3"/>
  <c r="I35" i="3" a="1"/>
  <c r="I35" i="3"/>
  <c r="I36" i="3" a="1"/>
  <c r="I36" i="3"/>
  <c r="I37" i="3" a="1"/>
  <c r="I37" i="3"/>
  <c r="I38" i="3" a="1"/>
  <c r="I38" i="3"/>
  <c r="I39" i="3" a="1"/>
  <c r="I39" i="3"/>
  <c r="I40" i="3" a="1"/>
  <c r="I40" i="3"/>
  <c r="I41" i="3" a="1"/>
  <c r="I41" i="3"/>
  <c r="I42" i="3" a="1"/>
  <c r="I42" i="3"/>
  <c r="I43" i="3" a="1"/>
  <c r="I43" i="3"/>
  <c r="I44" i="3" a="1"/>
  <c r="I44" i="3"/>
  <c r="I45" i="3" a="1"/>
  <c r="I45" i="3"/>
  <c r="I46" i="3" a="1"/>
  <c r="I46" i="3"/>
  <c r="I47" i="3" a="1"/>
  <c r="I47" i="3"/>
  <c r="I48" i="3" a="1"/>
  <c r="I48" i="3"/>
  <c r="I49" i="3" a="1"/>
  <c r="I49" i="3"/>
  <c r="I50" i="3" a="1"/>
  <c r="I50" i="3"/>
  <c r="I51" i="3" a="1"/>
  <c r="I51" i="3"/>
  <c r="I52" i="3" a="1"/>
  <c r="I52" i="3"/>
  <c r="I53" i="3" a="1"/>
  <c r="I53" i="3"/>
  <c r="I54" i="3" a="1"/>
  <c r="I54" i="3"/>
  <c r="I55" i="3" a="1"/>
  <c r="I55" i="3"/>
  <c r="I56" i="3" a="1"/>
  <c r="I56" i="3"/>
  <c r="I57" i="3" a="1"/>
  <c r="I57" i="3"/>
  <c r="I58" i="3" a="1"/>
  <c r="I58" i="3"/>
  <c r="I59" i="3" a="1"/>
  <c r="I59" i="3"/>
  <c r="I60" i="3" a="1"/>
  <c r="I60" i="3"/>
  <c r="I61" i="3" a="1"/>
  <c r="I61" i="3"/>
  <c r="I62" i="3" a="1"/>
  <c r="I62" i="3"/>
  <c r="I63" i="3" a="1"/>
  <c r="I63" i="3"/>
  <c r="I64" i="3" a="1"/>
  <c r="I64" i="3"/>
  <c r="I65" i="3" a="1"/>
  <c r="I65" i="3"/>
  <c r="I66" i="3" a="1"/>
  <c r="I66" i="3"/>
  <c r="I67" i="3" a="1"/>
  <c r="I67" i="3"/>
  <c r="I68" i="3" a="1"/>
  <c r="I68" i="3"/>
  <c r="I69" i="3" a="1"/>
  <c r="I69" i="3"/>
  <c r="I70" i="3" a="1"/>
  <c r="I70" i="3"/>
  <c r="I71" i="3" a="1"/>
  <c r="I71" i="3"/>
  <c r="I72" i="3" a="1"/>
  <c r="I72" i="3"/>
  <c r="I73" i="3" a="1"/>
  <c r="I73" i="3"/>
  <c r="I74" i="3" a="1"/>
  <c r="I74" i="3"/>
  <c r="I75" i="3" a="1"/>
  <c r="I75" i="3"/>
  <c r="I76" i="3" a="1"/>
  <c r="I76" i="3"/>
  <c r="I77" i="3" a="1"/>
  <c r="I77" i="3"/>
  <c r="I78" i="3" a="1"/>
  <c r="I78" i="3"/>
  <c r="I79" i="3" a="1"/>
  <c r="I79" i="3"/>
  <c r="I80" i="3" a="1"/>
  <c r="I80" i="3"/>
  <c r="I81" i="3" a="1"/>
  <c r="I81" i="3"/>
  <c r="I82" i="3" a="1"/>
  <c r="I82" i="3"/>
  <c r="I83" i="3" a="1"/>
  <c r="I83" i="3"/>
  <c r="I84" i="3" a="1"/>
  <c r="I84" i="3"/>
  <c r="I85" i="3" a="1"/>
  <c r="I85" i="3"/>
  <c r="I86" i="3" a="1"/>
  <c r="I86" i="3"/>
  <c r="I87" i="3" a="1"/>
  <c r="I87" i="3"/>
  <c r="I88" i="3" a="1"/>
  <c r="I88" i="3"/>
  <c r="I89" i="3" a="1"/>
  <c r="I89" i="3"/>
  <c r="I90" i="3" a="1"/>
  <c r="I90" i="3"/>
  <c r="I91" i="3" a="1"/>
  <c r="I91" i="3"/>
  <c r="I92" i="3" a="1"/>
  <c r="I92" i="3"/>
  <c r="I93" i="3" a="1"/>
  <c r="I93" i="3"/>
  <c r="I94" i="3" a="1"/>
  <c r="I94" i="3"/>
  <c r="I95" i="3" a="1"/>
  <c r="I95" i="3"/>
  <c r="I96" i="3" a="1"/>
  <c r="I96" i="3"/>
  <c r="I97" i="3" a="1"/>
  <c r="I97" i="3"/>
  <c r="I98" i="3" a="1"/>
  <c r="I98" i="3"/>
  <c r="I99" i="3" a="1"/>
  <c r="I99" i="3"/>
  <c r="I100" i="3" a="1"/>
  <c r="I100" i="3"/>
  <c r="I101" i="3" a="1"/>
  <c r="I101" i="3"/>
  <c r="I102" i="3" a="1"/>
  <c r="I102" i="3"/>
  <c r="I103" i="3" a="1"/>
  <c r="I103" i="3"/>
  <c r="B3" i="10" l="1" a="1"/>
  <c r="B3" i="10" s="1"/>
  <c r="B3" i="9" a="1"/>
  <c r="B3" i="9" s="1"/>
  <c r="B3" i="4" a="1"/>
  <c r="B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85E52D-3318-4F59-B286-DB278F0D0882}"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<sst xmlns="http://schemas.openxmlformats.org/spreadsheetml/2006/main" count="482" uniqueCount="181">
  <si>
    <t>Level</t>
  </si>
  <si>
    <t>Description</t>
  </si>
  <si>
    <t>Expertise Level</t>
  </si>
  <si>
    <t>N/A</t>
  </si>
  <si>
    <t>You don't know this skill at all</t>
  </si>
  <si>
    <t>None</t>
  </si>
  <si>
    <t>You are aware of this skill, but are not using it</t>
  </si>
  <si>
    <t>Trainee</t>
  </si>
  <si>
    <t>You know this skill and maybe using it from time to time</t>
  </si>
  <si>
    <t>Junior</t>
  </si>
  <si>
    <t>You know this skill and are using it on a regular basis</t>
  </si>
  <si>
    <t>Middle</t>
  </si>
  <si>
    <t>You know this skill thoroughly and can consult others</t>
  </si>
  <si>
    <t>Senior</t>
  </si>
  <si>
    <t>You know this skill thoroughly, monitor new trends and are able to teach others in this field</t>
  </si>
  <si>
    <t>Expert</t>
  </si>
  <si>
    <t>Spec</t>
  </si>
  <si>
    <t>Note</t>
  </si>
  <si>
    <t>Skills</t>
  </si>
  <si>
    <t>Category</t>
  </si>
  <si>
    <t>Comments</t>
  </si>
  <si>
    <t>Exam</t>
  </si>
  <si>
    <t>General</t>
  </si>
  <si>
    <t>ONE OF</t>
  </si>
  <si>
    <t>C# .NET Core/NET 5 +</t>
  </si>
  <si>
    <t>Programming</t>
  </si>
  <si>
    <t>CLR, LINQ, async, threading, syntax, features</t>
  </si>
  <si>
    <t>C# .NET Framework</t>
  </si>
  <si>
    <t>.NET Standard</t>
  </si>
  <si>
    <t>Web</t>
  </si>
  <si>
    <t>ASP.NET Core</t>
  </si>
  <si>
    <t>concepts, features, flows, tools, UI tools</t>
  </si>
  <si>
    <t>ASP.NET MVC</t>
  </si>
  <si>
    <t>ASP.NET Web API</t>
  </si>
  <si>
    <t>concepts, features, flows, tools</t>
  </si>
  <si>
    <t>OWIN</t>
  </si>
  <si>
    <t>(beta)</t>
  </si>
  <si>
    <t>Blazor</t>
  </si>
  <si>
    <t>Razor Pages</t>
  </si>
  <si>
    <t>Rx.NET</t>
  </si>
  <si>
    <t>SignalR</t>
  </si>
  <si>
    <t>Mobile</t>
  </si>
  <si>
    <t>Xamarin Forms</t>
  </si>
  <si>
    <t>MAUI</t>
  </si>
  <si>
    <t>Desktop</t>
  </si>
  <si>
    <t>Windows Forms</t>
  </si>
  <si>
    <t>principles, controls, backend/UI features, app security</t>
  </si>
  <si>
    <t>WPF / XAML</t>
  </si>
  <si>
    <t>UWP</t>
  </si>
  <si>
    <t>MVC</t>
  </si>
  <si>
    <t>Architecture</t>
  </si>
  <si>
    <t>MVVM</t>
  </si>
  <si>
    <t>REST</t>
  </si>
  <si>
    <t>Monolith Architecture</t>
  </si>
  <si>
    <t>Layered Architecture</t>
  </si>
  <si>
    <t>Service-Oriented Architecture</t>
  </si>
  <si>
    <t>Microservices</t>
  </si>
  <si>
    <t>Distributed transactions</t>
  </si>
  <si>
    <t>Serverless Architecture</t>
  </si>
  <si>
    <t>Clouds</t>
  </si>
  <si>
    <t>CQRS</t>
  </si>
  <si>
    <t>DDD (Domain-Driven Design)</t>
  </si>
  <si>
    <t>EDA (Event Driven Architecture)</t>
  </si>
  <si>
    <t>Message Queues</t>
  </si>
  <si>
    <t>Rabbit, MSMQ, Kafka</t>
  </si>
  <si>
    <t>Event Sourcing</t>
  </si>
  <si>
    <t>CAP theorem</t>
  </si>
  <si>
    <t>Plug-in Architecture (MicroKernel)</t>
  </si>
  <si>
    <t>Microkernel Architecture</t>
  </si>
  <si>
    <t>Circuit Breaker</t>
  </si>
  <si>
    <t>Azure Sevices</t>
  </si>
  <si>
    <t>Data Storage, Azure Functions, CosmoDB</t>
  </si>
  <si>
    <t> Exam AZ-204, AZ-900</t>
  </si>
  <si>
    <t>AWS Services</t>
  </si>
  <si>
    <t>S3, DynamoDB, SQS, EC2</t>
  </si>
  <si>
    <t>Google Clouds</t>
  </si>
  <si>
    <t>Cloud functions, Spanner, Firebase, Storage, BigQuery</t>
  </si>
  <si>
    <t>IaaS, PaaS, SaaS, CaaS</t>
  </si>
  <si>
    <t>explanation, understanding</t>
  </si>
  <si>
    <t>Data structures</t>
  </si>
  <si>
    <t>Computer Science</t>
  </si>
  <si>
    <t>Trees, Arrays, Hashtables, Graph, etc</t>
  </si>
  <si>
    <t>Hashtable/HashSets</t>
  </si>
  <si>
    <t xml:space="preserve">.NET collections </t>
  </si>
  <si>
    <t>(List, [], Stack, Queue, etc)</t>
  </si>
  <si>
    <t>DFS and BFS</t>
  </si>
  <si>
    <t>(Depth/Breadth First Search)</t>
  </si>
  <si>
    <t>Algorithms complexity</t>
  </si>
  <si>
    <t>Sorting algorithms</t>
  </si>
  <si>
    <t>Bubble, Merge, Heap, Quick, etc.</t>
  </si>
  <si>
    <t>Dijkstra</t>
  </si>
  <si>
    <t>Rabin Karp search</t>
  </si>
  <si>
    <t>KMP (Knuth–Morris–Pratt) algorithm</t>
  </si>
  <si>
    <t>Disjoint Set / Union-Find</t>
  </si>
  <si>
    <t>SQL/MySQL, SQLite</t>
  </si>
  <si>
    <t>Data Persistence</t>
  </si>
  <si>
    <t>DB design, DB principles, DML, DDL, procedures, funcions</t>
  </si>
  <si>
    <t>NoSQL</t>
  </si>
  <si>
    <t>Mongo, Redis, types, purpose, experience with at least one</t>
  </si>
  <si>
    <t>ORMs</t>
  </si>
  <si>
    <t>EntityFramework, Dapper, Nhibernate</t>
  </si>
  <si>
    <t>Entity Framework</t>
  </si>
  <si>
    <t>principles, approaches, migrations, inheritance, fluentAPI</t>
  </si>
  <si>
    <t>ACID/BASE</t>
  </si>
  <si>
    <t>Caching</t>
  </si>
  <si>
    <t>principles, tools</t>
  </si>
  <si>
    <t>Branching strategies</t>
  </si>
  <si>
    <t>DevOps</t>
  </si>
  <si>
    <t>Git Flow, GitHub Flow, GitLab Flow, Trunk-based, principles</t>
  </si>
  <si>
    <t>Deployment strategies</t>
  </si>
  <si>
    <t>Canary, Green-Blue, etc</t>
  </si>
  <si>
    <t>Source controls</t>
  </si>
  <si>
    <t>Git, SVN, types, common operations, experience</t>
  </si>
  <si>
    <t>CI/CD tools</t>
  </si>
  <si>
    <t>Gitlab, Github, Jenkins, Azure DevOps, TeamCity, principles</t>
  </si>
  <si>
    <t>Docker</t>
  </si>
  <si>
    <t>Kubernetes</t>
  </si>
  <si>
    <t>TCP/IP, UDP, SMTP</t>
  </si>
  <si>
    <t>Networks</t>
  </si>
  <si>
    <t>RPC</t>
  </si>
  <si>
    <t>VPN</t>
  </si>
  <si>
    <t>DNS</t>
  </si>
  <si>
    <t>HTTP and HTTPS</t>
  </si>
  <si>
    <t>HTTP/2</t>
  </si>
  <si>
    <t>Sockets</t>
  </si>
  <si>
    <t>gRPC</t>
  </si>
  <si>
    <t>OOP</t>
  </si>
  <si>
    <t>Patterns &amp; Practices</t>
  </si>
  <si>
    <t>principles, benefits, issues</t>
  </si>
  <si>
    <t>SOLID principles</t>
  </si>
  <si>
    <t>Functional</t>
  </si>
  <si>
    <t>Dependency injection</t>
  </si>
  <si>
    <t>CQS</t>
  </si>
  <si>
    <t>Repository and UoW</t>
  </si>
  <si>
    <t>Design Patterns</t>
  </si>
  <si>
    <t>.NET Design Patterns</t>
  </si>
  <si>
    <t>Event-driven</t>
  </si>
  <si>
    <t>DRY (Don't Repeat Yourself)</t>
  </si>
  <si>
    <t>IoC (Hollywood Principle)</t>
  </si>
  <si>
    <t>KISS</t>
  </si>
  <si>
    <t>YAGNI</t>
  </si>
  <si>
    <t>Integration Testing</t>
  </si>
  <si>
    <t>Unit Testing</t>
  </si>
  <si>
    <t>Basic Authentication</t>
  </si>
  <si>
    <t>Security</t>
  </si>
  <si>
    <t>Two-factor Authentication</t>
  </si>
  <si>
    <t>Resource-based Authorization</t>
  </si>
  <si>
    <t>JWT Bearer</t>
  </si>
  <si>
    <t>principles, structure, how work</t>
  </si>
  <si>
    <t>SSO (Single Sign-On)</t>
  </si>
  <si>
    <t>Oauth/OIDC (OpedID Connect)</t>
  </si>
  <si>
    <t>Encryption</t>
  </si>
  <si>
    <t>types, Diffie-Hellman Algorithm, keys, flow, purpose</t>
  </si>
  <si>
    <t>Digital Signature</t>
  </si>
  <si>
    <t>OWASP Top 10 Vulnerabilities</t>
  </si>
  <si>
    <t>types, prevention, flow</t>
  </si>
  <si>
    <t>Block-chain</t>
  </si>
  <si>
    <t>SDLC</t>
  </si>
  <si>
    <t>Kanban/SCRUM/Waterfall comparison, flow, practices</t>
  </si>
  <si>
    <t>TDD</t>
  </si>
  <si>
    <t>BDD</t>
  </si>
  <si>
    <t>Estimation techniques</t>
  </si>
  <si>
    <t>Bucket, T-Shirt, Poker, Dot, etc</t>
  </si>
  <si>
    <t>AI basic concepts</t>
  </si>
  <si>
    <t>AI/LLM</t>
  </si>
  <si>
    <t>AI definiition, GenAI definition, AI players on the market</t>
  </si>
  <si>
    <t>AI-102</t>
  </si>
  <si>
    <t>LLM concepts</t>
  </si>
  <si>
    <t>LLM definition, how it works, what can it solve, how to work locally with LLM, Be able do demonstrate basic practical LLM knowledge when working with code, LLM characteristics (How LLMs store information?
What is model quantization and how does it impact the performance of LLMs?
What is the token in LLM meaning?
What is the embeddings in context of LLMs?
What is the context in LLM meaning?
What is the hallucinations and temperature in LLM meaning?
What is the fine-tuning in context of LLMs?
What is the Retrieval Augmented Generation (RAG) and why do we need it?)</t>
  </si>
  <si>
    <t>Prompt Engineering</t>
  </si>
  <si>
    <t>What are characteristics of the good prompt?
Basic prompt techniques:
Chain-of-thoughts
Zero-shot learning
One-shot learning
Few-shot learning
Self-consistency</t>
  </si>
  <si>
    <t>OWASP vulnerabilities on AI/LLM</t>
  </si>
  <si>
    <t>Which security rules you must follow in communication with LLMs?
Why it's important to validate answers from LLMs?
LLMs integration: knows security risks mitigation techniques:
Input Sanitization and Validation
Input Encryption
Rate-Limiting and Authentication
Content Moderation and Output Filtering
Monitoring and Logging
Fine-tuning
When/why clients can refuse LLMs usage?</t>
  </si>
  <si>
    <t>AI Frameworks</t>
  </si>
  <si>
    <t>Understand how Semantic Kernel framework works at a high level</t>
  </si>
  <si>
    <t>AI tools</t>
  </si>
  <si>
    <t>Is aware of GitHub Copilot functionality</t>
  </si>
  <si>
    <t>TechSkills</t>
  </si>
  <si>
    <t>Desktop specialization</t>
  </si>
  <si>
    <t>Web specialization</t>
  </si>
  <si>
    <t>Mobile specialization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</si>
</sst>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charset val="204"/>
      <scheme val="minor"/>
    </font>
    <font>
      <u/>
      <sz val="11"/>
      <color theme="10"/>
      <name val="Calibri"/>
      <family val="2"/>
      <charset val="204"/>
      <scheme val="minor"/>
    </font>
    <font>
      <b/>
      <sz val="11"/>
      <color theme="0"/>
      <name val="Calibri"/>
      <family val="2"/>
      <charset val="204"/>
      <scheme val="minor"/>
    </font>
    <font>
      <u/>
      <sz val="16"/>
      <color theme="3" tint="0.39997558519241921"/>
      <name val="Calibri"/>
      <family val="2"/>
      <charset val="204"/>
      <scheme val="minor"/>
    </font>
    <font>
      <sz val="11"/>
      <name val="Consolas"/>
      <family val="3"/>
      <charset val="204"/>
    </font>
    <font>
      <sz val="11"/>
      <color theme="1"/>
      <name val="Consolas"/>
      <family val="3"/>
      <charset val="204"/>
    </font>
    <font>
      <sz val="12"/>
      <color theme="1"/>
      <name val="Consolas"/>
      <family val="3"/>
      <charset val="204"/>
    </font>
    <font>
      <sz val="11"/>
      <color rgb="FF333333"/>
      <name val="Consolas"/>
      <family val="3"/>
      <charset val="204"/>
    </font>
    <font>
      <u/>
      <sz val="11"/>
      <color theme="10"/>
      <name val="Consolas"/>
      <family val="3"/>
      <charset val="204"/>
    </font>
    <font>
      <b/>
      <sz val="11"/>
      <color theme="1"/>
      <name val="Consolas"/>
      <family val="3"/>
      <charset val="204"/>
    </font>
    <font>
      <b/>
      <sz val="11"/>
      <name val="Consolas"/>
      <family val="3"/>
      <charset val="204"/>
    </font>
    <font>
      <b/>
      <sz val="14"/>
      <color rgb="FF333333"/>
      <name val="Consolas"/>
      <family val="3"/>
      <charset val="204"/>
    </font>
    <font>
      <b/>
      <sz val="14"/>
      <name val="Consolas"/>
      <family val="3"/>
      <charset val="204"/>
    </font>
    <font>
      <sz val="11"/>
      <color rgb="FF000000"/>
      <name val="Consolas"/>
      <family val="3"/>
      <charset val="204"/>
    </font>
  </fonts>
  <fills count="12">
    <fill>
      <patternFill patternType="none"/>
    </fill>
    <fill>
      <patternFill patternType="gray125"/>
    </fill>
    <fill>
      <patternFill patternType="solid">
        <fgColor rgb="FFFFFFFF"/>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theme="2" tint="-0.749992370372631"/>
        <bgColor theme="4"/>
      </patternFill>
    </fill>
    <fill>
      <patternFill patternType="solid">
        <fgColor theme="7" tint="-0.499984740745262"/>
        <bgColor theme="4"/>
      </patternFill>
    </fill>
    <fill>
      <patternFill patternType="solid">
        <fgColor theme="3"/>
        <bgColor indexed="64"/>
      </patternFill>
    </fill>
    <fill>
      <patternFill patternType="solid">
        <fgColor theme="9" tint="-0.249977111117893"/>
        <bgColor theme="4"/>
      </patternFill>
    </fill>
  </fills>
  <borders count="44">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right style="medium">
        <color rgb="FFDDDDDD"/>
      </right>
      <top style="medium">
        <color rgb="FFDDDDDD"/>
      </top>
      <bottom style="medium">
        <color rgb="FFDDDDDD"/>
      </bottom>
      <diagonal/>
    </border>
    <border>
      <left/>
      <right style="medium">
        <color rgb="FFDDDDDD"/>
      </right>
      <top/>
      <bottom style="medium">
        <color rgb="FFDDDDDD"/>
      </bottom>
      <diagonal/>
    </border>
    <border>
      <left/>
      <right style="medium">
        <color rgb="FFDDDDDD"/>
      </right>
      <top style="medium">
        <color rgb="FFDDDDDD"/>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rgb="FFDDDDDD"/>
      </right>
      <top style="thin">
        <color indexed="64"/>
      </top>
      <bottom style="medium">
        <color rgb="FFDDDDDD"/>
      </bottom>
      <diagonal/>
    </border>
    <border>
      <left style="medium">
        <color rgb="FFDDDDDD"/>
      </left>
      <right style="medium">
        <color rgb="FFDDDDDD"/>
      </right>
      <top style="thin">
        <color indexed="64"/>
      </top>
      <bottom style="medium">
        <color rgb="FFDDDDDD"/>
      </bottom>
      <diagonal/>
    </border>
    <border>
      <left style="medium">
        <color rgb="FFDDDDDD"/>
      </left>
      <right style="thin">
        <color indexed="64"/>
      </right>
      <top style="thin">
        <color indexed="64"/>
      </top>
      <bottom style="medium">
        <color rgb="FFDDDDDD"/>
      </bottom>
      <diagonal/>
    </border>
    <border>
      <left style="thin">
        <color indexed="64"/>
      </left>
      <right style="medium">
        <color rgb="FFDDDDDD"/>
      </right>
      <top style="medium">
        <color rgb="FFDDDDDD"/>
      </top>
      <bottom style="medium">
        <color rgb="FFDDDDDD"/>
      </bottom>
      <diagonal/>
    </border>
    <border>
      <left style="medium">
        <color rgb="FFDDDDDD"/>
      </left>
      <right style="thin">
        <color indexed="64"/>
      </right>
      <top style="medium">
        <color rgb="FFDDDDDD"/>
      </top>
      <bottom style="medium">
        <color rgb="FFDDDDDD"/>
      </bottom>
      <diagonal/>
    </border>
    <border>
      <left style="thin">
        <color indexed="64"/>
      </left>
      <right style="medium">
        <color rgb="FFDDDDDD"/>
      </right>
      <top style="medium">
        <color rgb="FFDDDDDD"/>
      </top>
      <bottom style="thin">
        <color indexed="64"/>
      </bottom>
      <diagonal/>
    </border>
    <border>
      <left style="medium">
        <color rgb="FFDDDDDD"/>
      </left>
      <right style="medium">
        <color rgb="FFDDDDDD"/>
      </right>
      <top style="medium">
        <color rgb="FFDDDDDD"/>
      </top>
      <bottom style="thin">
        <color indexed="64"/>
      </bottom>
      <diagonal/>
    </border>
    <border>
      <left style="medium">
        <color rgb="FFDDDDDD"/>
      </left>
      <right style="thin">
        <color indexed="64"/>
      </right>
      <top style="medium">
        <color rgb="FFDDDDDD"/>
      </top>
      <bottom style="thin">
        <color indexed="64"/>
      </bottom>
      <diagonal/>
    </border>
    <border>
      <left/>
      <right style="medium">
        <color rgb="FFDDDDDD"/>
      </right>
      <top style="thin">
        <color indexed="64"/>
      </top>
      <bottom style="medium">
        <color rgb="FFDDDDDD"/>
      </bottom>
      <diagonal/>
    </border>
    <border>
      <left/>
      <right style="medium">
        <color rgb="FFDDDDDD"/>
      </right>
      <top style="medium">
        <color rgb="FFDDDDDD"/>
      </top>
      <bottom style="thin">
        <color indexed="64"/>
      </bottom>
      <diagonal/>
    </border>
    <border>
      <left/>
      <right/>
      <top style="thin">
        <color indexed="64"/>
      </top>
      <bottom/>
      <diagonal/>
    </border>
    <border>
      <left/>
      <right/>
      <top/>
      <bottom style="thin">
        <color indexed="64"/>
      </bottom>
      <diagonal/>
    </border>
    <border>
      <left/>
      <right style="medium">
        <color rgb="FFDDDDDD"/>
      </right>
      <top/>
      <bottom/>
      <diagonal/>
    </border>
    <border>
      <left style="thin">
        <color indexed="64"/>
      </left>
      <right style="medium">
        <color rgb="FFDDDDDD"/>
      </right>
      <top/>
      <bottom style="thin">
        <color indexed="64"/>
      </bottom>
      <diagonal/>
    </border>
    <border>
      <left/>
      <right/>
      <top style="thin">
        <color theme="4" tint="0.39997558519241921"/>
      </top>
      <bottom/>
      <diagonal/>
    </border>
    <border>
      <left style="medium">
        <color rgb="FFDDDDDD"/>
      </left>
      <right/>
      <top style="medium">
        <color rgb="FFDDDDDD"/>
      </top>
      <bottom style="medium">
        <color rgb="FFDDDDDD"/>
      </bottom>
      <diagonal/>
    </border>
    <border>
      <left style="medium">
        <color rgb="FFDDDDDD"/>
      </left>
      <right/>
      <top style="thin">
        <color rgb="FF44B3E1"/>
      </top>
      <bottom style="thin">
        <color rgb="FF44B3E1"/>
      </bottom>
      <diagonal/>
    </border>
    <border>
      <left style="medium">
        <color rgb="FFDDDDDD"/>
      </left>
      <right/>
      <top style="medium">
        <color rgb="FFDDDDDD"/>
      </top>
      <bottom/>
      <diagonal/>
    </border>
    <border>
      <left style="medium">
        <color rgb="FFDDDDDD"/>
      </left>
      <right/>
      <top style="thin">
        <color rgb="FF44B3E1"/>
      </top>
      <bottom/>
      <diagonal/>
    </border>
  </borders>
  <cellStyleXfs count="2">
    <xf numFmtId="0" fontId="0" fillId="0" borderId="0"/>
    <xf numFmtId="0" fontId="1" fillId="0" borderId="0" applyNumberFormat="0" applyFill="0" applyBorder="0" applyAlignment="0" applyProtection="0"/>
  </cellStyleXfs>
  <cellXfs count="118">
    <xf numFmtId="0" fontId="0" fillId="0" borderId="0" xfId="0"/>
    <xf numFmtId="0" fontId="0" fillId="0" borderId="0" xfId="0" applyAlignment="1">
      <alignment horizontal="center"/>
    </xf>
    <xf numFmtId="0" fontId="3" fillId="0" borderId="0" xfId="1" applyFont="1"/>
    <xf numFmtId="0" fontId="4" fillId="0" borderId="0" xfId="0" applyFont="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7" fillId="2" borderId="4" xfId="0" applyFont="1" applyFill="1" applyBorder="1" applyAlignment="1">
      <alignment horizontal="center"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right" vertical="center" wrapText="1"/>
    </xf>
    <xf numFmtId="0" fontId="7" fillId="2" borderId="5"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2" borderId="1" xfId="1" applyFont="1" applyFill="1" applyBorder="1" applyAlignment="1">
      <alignment horizontal="left" vertical="center" wrapText="1"/>
    </xf>
    <xf numFmtId="0" fontId="4" fillId="0" borderId="1" xfId="0" applyFont="1" applyBorder="1" applyAlignment="1">
      <alignment horizontal="left" vertical="center" wrapText="1"/>
    </xf>
    <xf numFmtId="0" fontId="7" fillId="2" borderId="0" xfId="0" applyFont="1" applyFill="1" applyAlignment="1">
      <alignment horizontal="left"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5" fillId="2" borderId="0" xfId="0" applyFont="1" applyFill="1" applyAlignment="1">
      <alignment vertical="center"/>
    </xf>
    <xf numFmtId="0" fontId="9" fillId="0" borderId="10" xfId="0" applyFont="1" applyBorder="1" applyAlignment="1">
      <alignment horizontal="center" vertical="center"/>
    </xf>
    <xf numFmtId="0" fontId="5" fillId="0" borderId="12" xfId="0" applyFont="1" applyBorder="1" applyAlignment="1">
      <alignment horizontal="center" vertical="center"/>
    </xf>
    <xf numFmtId="0" fontId="5" fillId="6" borderId="12" xfId="0" applyFont="1" applyFill="1" applyBorder="1" applyAlignment="1">
      <alignment horizontal="center" vertical="center"/>
    </xf>
    <xf numFmtId="0" fontId="5" fillId="3" borderId="12" xfId="0" applyFont="1" applyFill="1" applyBorder="1" applyAlignment="1">
      <alignment horizontal="center" vertical="center"/>
    </xf>
    <xf numFmtId="0" fontId="5" fillId="5" borderId="12" xfId="0" applyFont="1" applyFill="1" applyBorder="1" applyAlignment="1">
      <alignment horizontal="center" vertical="center"/>
    </xf>
    <xf numFmtId="0" fontId="5" fillId="4" borderId="14" xfId="0" applyFont="1" applyFill="1" applyBorder="1" applyAlignment="1">
      <alignment horizontal="center" vertical="center"/>
    </xf>
    <xf numFmtId="0" fontId="9" fillId="0" borderId="11" xfId="0" applyFont="1" applyBorder="1" applyAlignment="1">
      <alignment horizontal="center" vertical="center"/>
    </xf>
    <xf numFmtId="0" fontId="5" fillId="0" borderId="13" xfId="0" applyFont="1" applyBorder="1" applyAlignment="1">
      <alignment horizontal="center" vertical="center"/>
    </xf>
    <xf numFmtId="0" fontId="5" fillId="6" borderId="13" xfId="0" applyFont="1" applyFill="1" applyBorder="1" applyAlignment="1">
      <alignment horizontal="center" vertical="center"/>
    </xf>
    <xf numFmtId="0" fontId="5" fillId="3" borderId="13" xfId="0" applyFont="1" applyFill="1" applyBorder="1" applyAlignment="1">
      <alignment horizontal="center" vertical="center"/>
    </xf>
    <xf numFmtId="0" fontId="5" fillId="5" borderId="13" xfId="0" applyFont="1" applyFill="1" applyBorder="1" applyAlignment="1">
      <alignment horizontal="center" vertical="center"/>
    </xf>
    <xf numFmtId="0" fontId="5" fillId="4" borderId="15" xfId="0" applyFont="1" applyFill="1" applyBorder="1" applyAlignment="1">
      <alignment horizontal="center" vertical="center"/>
    </xf>
    <xf numFmtId="0" fontId="7" fillId="2" borderId="5" xfId="0" applyFont="1" applyFill="1" applyBorder="1" applyAlignment="1">
      <alignment horizontal="center" vertical="center" wrapText="1"/>
    </xf>
    <xf numFmtId="49" fontId="10"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0" xfId="0" applyNumberFormat="1" applyFont="1" applyAlignment="1">
      <alignment horizontal="center" vertical="center"/>
    </xf>
    <xf numFmtId="164" fontId="0" fillId="0" borderId="0" xfId="0" applyNumberFormat="1" applyAlignment="1">
      <alignment horizontal="center"/>
    </xf>
    <xf numFmtId="49" fontId="4" fillId="0" borderId="4" xfId="0" applyNumberFormat="1" applyFont="1" applyBorder="1" applyAlignment="1">
      <alignment horizontal="center" vertical="center" wrapText="1"/>
    </xf>
    <xf numFmtId="0" fontId="7" fillId="0" borderId="4" xfId="0" applyFont="1" applyBorder="1" applyAlignment="1">
      <alignment horizontal="left" vertical="center" wrapText="1"/>
    </xf>
    <xf numFmtId="0" fontId="7" fillId="2" borderId="4" xfId="0" applyFont="1" applyFill="1" applyBorder="1" applyAlignment="1">
      <alignment horizontal="right" vertical="center" wrapText="1"/>
    </xf>
    <xf numFmtId="0" fontId="7" fillId="2" borderId="3" xfId="0" applyFont="1" applyFill="1" applyBorder="1" applyAlignment="1">
      <alignment horizontal="center" vertical="center" wrapText="1"/>
    </xf>
    <xf numFmtId="49" fontId="4" fillId="0" borderId="2" xfId="0" applyNumberFormat="1" applyFont="1" applyBorder="1" applyAlignment="1">
      <alignment horizontal="center" vertical="center" wrapText="1"/>
    </xf>
    <xf numFmtId="0" fontId="7" fillId="0" borderId="2" xfId="0" applyFont="1" applyBorder="1" applyAlignment="1">
      <alignment horizontal="left" vertical="center" wrapText="1"/>
    </xf>
    <xf numFmtId="0" fontId="7" fillId="2" borderId="2" xfId="0" applyFont="1" applyFill="1" applyBorder="1" applyAlignment="1">
      <alignment horizontal="right" vertical="center" wrapText="1"/>
    </xf>
    <xf numFmtId="0" fontId="7" fillId="2" borderId="25" xfId="0" applyFont="1" applyFill="1" applyBorder="1" applyAlignment="1">
      <alignment horizontal="center" vertical="center" wrapText="1"/>
    </xf>
    <xf numFmtId="49" fontId="10" fillId="0" borderId="26" xfId="0" applyNumberFormat="1" applyFont="1" applyBorder="1" applyAlignment="1">
      <alignment horizontal="center" vertical="center" wrapText="1"/>
    </xf>
    <xf numFmtId="0" fontId="7" fillId="0" borderId="26" xfId="0" applyFont="1" applyBorder="1" applyAlignment="1">
      <alignment horizontal="left" vertical="center" wrapText="1"/>
    </xf>
    <xf numFmtId="0" fontId="7" fillId="2" borderId="26" xfId="0" applyFont="1" applyFill="1" applyBorder="1" applyAlignment="1">
      <alignment horizontal="right" vertical="center" wrapText="1"/>
    </xf>
    <xf numFmtId="0" fontId="7" fillId="2" borderId="28" xfId="0" applyFont="1" applyFill="1" applyBorder="1" applyAlignment="1">
      <alignment horizontal="center" vertical="center" wrapText="1"/>
    </xf>
    <xf numFmtId="0" fontId="7" fillId="2" borderId="30" xfId="0" applyFont="1" applyFill="1" applyBorder="1" applyAlignment="1">
      <alignment horizontal="center" vertical="center" wrapText="1"/>
    </xf>
    <xf numFmtId="49" fontId="10" fillId="0" borderId="31" xfId="0" applyNumberFormat="1" applyFont="1" applyBorder="1" applyAlignment="1">
      <alignment horizontal="center" vertical="center" wrapText="1"/>
    </xf>
    <xf numFmtId="0" fontId="7" fillId="0" borderId="31" xfId="0" applyFont="1" applyBorder="1" applyAlignment="1">
      <alignment horizontal="left" vertical="center" wrapText="1"/>
    </xf>
    <xf numFmtId="0" fontId="7" fillId="2" borderId="31" xfId="0" applyFont="1" applyFill="1" applyBorder="1" applyAlignment="1">
      <alignment horizontal="right" vertical="center" wrapText="1"/>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center" vertical="center" wrapText="1"/>
    </xf>
    <xf numFmtId="0" fontId="7" fillId="2" borderId="6" xfId="0" applyFont="1" applyFill="1" applyBorder="1" applyAlignment="1">
      <alignment horizontal="left" vertical="center" wrapText="1"/>
    </xf>
    <xf numFmtId="0" fontId="7" fillId="2" borderId="33" xfId="0" applyFont="1" applyFill="1" applyBorder="1" applyAlignment="1">
      <alignment horizontal="center" vertical="center" wrapText="1"/>
    </xf>
    <xf numFmtId="0" fontId="7" fillId="2" borderId="33" xfId="0" applyFont="1" applyFill="1" applyBorder="1" applyAlignment="1">
      <alignment horizontal="left" vertical="center" wrapText="1"/>
    </xf>
    <xf numFmtId="0" fontId="7" fillId="2" borderId="27" xfId="0" applyFont="1" applyFill="1" applyBorder="1" applyAlignment="1">
      <alignment horizontal="left" vertical="center" wrapText="1"/>
    </xf>
    <xf numFmtId="0" fontId="7" fillId="2" borderId="29" xfId="0" applyFont="1" applyFill="1" applyBorder="1" applyAlignment="1">
      <alignment horizontal="left" vertical="center" wrapText="1"/>
    </xf>
    <xf numFmtId="0" fontId="7" fillId="2" borderId="34" xfId="0" applyFont="1" applyFill="1" applyBorder="1" applyAlignment="1">
      <alignment horizontal="center" vertical="center" wrapText="1"/>
    </xf>
    <xf numFmtId="0" fontId="7" fillId="2" borderId="34" xfId="0" applyFont="1" applyFill="1" applyBorder="1" applyAlignment="1">
      <alignment horizontal="left" vertical="center" wrapText="1"/>
    </xf>
    <xf numFmtId="0" fontId="7" fillId="2" borderId="32" xfId="0" applyFont="1" applyFill="1" applyBorder="1" applyAlignment="1">
      <alignment horizontal="left" vertical="center" wrapText="1"/>
    </xf>
    <xf numFmtId="0" fontId="5" fillId="0" borderId="35" xfId="0" applyFont="1" applyBorder="1" applyAlignment="1">
      <alignment vertical="center"/>
    </xf>
    <xf numFmtId="0" fontId="5" fillId="0" borderId="36" xfId="0" applyFont="1" applyBorder="1" applyAlignment="1">
      <alignment vertical="center"/>
    </xf>
    <xf numFmtId="49" fontId="4"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0" fontId="7" fillId="2" borderId="3" xfId="0" applyFont="1" applyFill="1" applyBorder="1" applyAlignment="1">
      <alignment horizontal="right" vertical="center" wrapText="1"/>
    </xf>
    <xf numFmtId="0" fontId="7" fillId="2" borderId="37" xfId="0" applyFont="1" applyFill="1" applyBorder="1" applyAlignment="1">
      <alignment horizontal="center" vertical="center" wrapText="1"/>
    </xf>
    <xf numFmtId="0" fontId="7" fillId="2" borderId="38"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37" xfId="0" applyFont="1" applyFill="1" applyBorder="1" applyAlignment="1">
      <alignment horizontal="center" vertical="center" wrapText="1"/>
    </xf>
    <xf numFmtId="0" fontId="4" fillId="0" borderId="31" xfId="0" applyFont="1" applyBorder="1" applyAlignment="1">
      <alignment horizontal="left" vertical="center" wrapText="1"/>
    </xf>
    <xf numFmtId="164" fontId="2" fillId="8" borderId="8" xfId="0" applyNumberFormat="1" applyFont="1" applyFill="1" applyBorder="1" applyAlignment="1">
      <alignment horizontal="center"/>
    </xf>
    <xf numFmtId="0" fontId="2" fillId="8" borderId="9" xfId="0" applyFont="1" applyFill="1" applyBorder="1"/>
    <xf numFmtId="0" fontId="2" fillId="8" borderId="9" xfId="0" applyFont="1" applyFill="1" applyBorder="1" applyAlignment="1">
      <alignment horizontal="center"/>
    </xf>
    <xf numFmtId="164" fontId="2" fillId="9" borderId="8" xfId="0" applyNumberFormat="1" applyFont="1" applyFill="1" applyBorder="1" applyAlignment="1">
      <alignment horizontal="center"/>
    </xf>
    <xf numFmtId="0" fontId="2" fillId="9" borderId="9" xfId="0" applyFont="1" applyFill="1" applyBorder="1"/>
    <xf numFmtId="0" fontId="2" fillId="9" borderId="9" xfId="0" applyFont="1" applyFill="1" applyBorder="1" applyAlignment="1">
      <alignment horizontal="center"/>
    </xf>
    <xf numFmtId="0" fontId="0" fillId="10" borderId="0" xfId="0" applyFill="1"/>
    <xf numFmtId="0" fontId="0" fillId="10" borderId="0" xfId="0" applyFill="1" applyAlignment="1">
      <alignment horizontal="center"/>
    </xf>
    <xf numFmtId="0" fontId="2" fillId="8" borderId="39" xfId="0" applyFont="1" applyFill="1" applyBorder="1" applyAlignment="1">
      <alignment horizontal="center"/>
    </xf>
    <xf numFmtId="0" fontId="7" fillId="2" borderId="0" xfId="0" applyFont="1" applyFill="1" applyAlignment="1">
      <alignment horizontal="center" vertical="center" wrapText="1"/>
    </xf>
    <xf numFmtId="164" fontId="2" fillId="11" borderId="8" xfId="0" applyNumberFormat="1" applyFont="1" applyFill="1" applyBorder="1" applyAlignment="1">
      <alignment horizontal="center"/>
    </xf>
    <xf numFmtId="0" fontId="2" fillId="11" borderId="9" xfId="0" applyFont="1" applyFill="1" applyBorder="1"/>
    <xf numFmtId="0" fontId="2" fillId="11" borderId="9" xfId="0" applyFont="1" applyFill="1" applyBorder="1" applyAlignment="1">
      <alignment horizontal="center"/>
    </xf>
    <xf numFmtId="0" fontId="2" fillId="9" borderId="39" xfId="0" applyFont="1" applyFill="1" applyBorder="1" applyAlignment="1">
      <alignment horizontal="center"/>
    </xf>
    <xf numFmtId="0" fontId="2" fillId="11" borderId="39" xfId="0" applyFont="1" applyFill="1" applyBorder="1" applyAlignment="1">
      <alignment horizontal="center"/>
    </xf>
    <xf numFmtId="0" fontId="7" fillId="2" borderId="40" xfId="0" applyFont="1" applyFill="1" applyBorder="1" applyAlignment="1">
      <alignment horizontal="right" vertical="center" wrapText="1"/>
    </xf>
    <xf numFmtId="0" fontId="13" fillId="0" borderId="41" xfId="0" applyFont="1" applyBorder="1" applyAlignment="1">
      <alignment vertical="center" wrapText="1"/>
    </xf>
    <xf numFmtId="0" fontId="7" fillId="2" borderId="42" xfId="0" applyFont="1" applyFill="1" applyBorder="1" applyAlignment="1">
      <alignment horizontal="right" vertical="center" wrapText="1"/>
    </xf>
    <xf numFmtId="0" fontId="13" fillId="0" borderId="43" xfId="0" applyFont="1" applyBorder="1" applyAlignment="1">
      <alignment vertical="center" wrapText="1"/>
    </xf>
    <xf numFmtId="0" fontId="5" fillId="5" borderId="16" xfId="0" applyFont="1" applyFill="1" applyBorder="1" applyAlignment="1">
      <alignment vertical="center"/>
    </xf>
    <xf numFmtId="0" fontId="5" fillId="5" borderId="17" xfId="0" applyFont="1" applyFill="1" applyBorder="1" applyAlignment="1">
      <alignment vertical="center"/>
    </xf>
    <xf numFmtId="0" fontId="5" fillId="5" borderId="18" xfId="0" applyFont="1" applyFill="1" applyBorder="1" applyAlignment="1">
      <alignment vertical="center"/>
    </xf>
    <xf numFmtId="0" fontId="5" fillId="4" borderId="19" xfId="0" applyFont="1" applyFill="1" applyBorder="1" applyAlignment="1">
      <alignment vertical="center"/>
    </xf>
    <xf numFmtId="0" fontId="5" fillId="4" borderId="20" xfId="0" applyFont="1" applyFill="1" applyBorder="1" applyAlignment="1">
      <alignment vertical="center"/>
    </xf>
    <xf numFmtId="0" fontId="5" fillId="4" borderId="21" xfId="0" applyFont="1" applyFill="1" applyBorder="1" applyAlignment="1">
      <alignment vertical="center"/>
    </xf>
    <xf numFmtId="0" fontId="9" fillId="0" borderId="22" xfId="0" applyFont="1" applyBorder="1" applyAlignment="1">
      <alignment vertical="center"/>
    </xf>
    <xf numFmtId="0" fontId="9" fillId="0" borderId="23" xfId="0" applyFont="1" applyBorder="1" applyAlignment="1">
      <alignment vertical="center"/>
    </xf>
    <xf numFmtId="0" fontId="9" fillId="0" borderId="24" xfId="0" applyFont="1" applyBorder="1" applyAlignment="1">
      <alignmen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0" fontId="5" fillId="7" borderId="16" xfId="0" applyFont="1" applyFill="1" applyBorder="1" applyAlignment="1">
      <alignment horizontal="left" vertical="center"/>
    </xf>
    <xf numFmtId="0" fontId="5" fillId="7" borderId="17" xfId="0" applyFont="1" applyFill="1" applyBorder="1" applyAlignment="1">
      <alignment horizontal="left" vertical="center"/>
    </xf>
    <xf numFmtId="0" fontId="5" fillId="7" borderId="18" xfId="0" applyFont="1" applyFill="1" applyBorder="1" applyAlignment="1">
      <alignment horizontal="left" vertical="center"/>
    </xf>
    <xf numFmtId="0" fontId="5" fillId="6" borderId="16" xfId="0" applyFont="1" applyFill="1" applyBorder="1" applyAlignment="1">
      <alignment horizontal="left" vertical="center"/>
    </xf>
    <xf numFmtId="0" fontId="5" fillId="6" borderId="17" xfId="0" applyFont="1" applyFill="1" applyBorder="1" applyAlignment="1">
      <alignment horizontal="left" vertical="center"/>
    </xf>
    <xf numFmtId="0" fontId="5" fillId="6" borderId="18" xfId="0" applyFont="1" applyFill="1" applyBorder="1" applyAlignment="1">
      <alignment horizontal="left" vertical="center"/>
    </xf>
    <xf numFmtId="0" fontId="5" fillId="3" borderId="16" xfId="0" applyFont="1" applyFill="1" applyBorder="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cellXfs>
  <cellStyles count="2">
    <cellStyle name="Hyperlink" xfId="1" builtinId="8"/>
    <cellStyle name="Normal" xfId="0" builtinId="0"/>
  </cellStyles>
  <dxfs count="43">
    <dxf>
      <fill>
        <patternFill>
          <bgColor rgb="FFE2E6F6"/>
        </patternFill>
      </fill>
    </dxf>
    <dxf>
      <fill>
        <patternFill>
          <bgColor theme="7" tint="0.79998168889431442"/>
        </patternFill>
      </fill>
    </dxf>
    <dxf>
      <fill>
        <patternFill>
          <bgColor theme="6" tint="0.79998168889431442"/>
        </patternFill>
      </fill>
    </dxf>
    <dxf>
      <fill>
        <patternFill>
          <bgColor rgb="FFFFFFE5"/>
        </patternFill>
      </fill>
    </dxf>
    <dxf>
      <fill>
        <patternFill>
          <bgColor rgb="FFFEECE8"/>
        </patternFill>
      </fill>
    </dxf>
    <dxf>
      <fill>
        <patternFill>
          <bgColor rgb="FFE2E6F6"/>
        </patternFill>
      </fill>
    </dxf>
    <dxf>
      <fill>
        <patternFill>
          <bgColor theme="7" tint="0.79998168889431442"/>
        </patternFill>
      </fill>
    </dxf>
    <dxf>
      <fill>
        <patternFill>
          <bgColor theme="6" tint="0.79998168889431442"/>
        </patternFill>
      </fill>
    </dxf>
    <dxf>
      <fill>
        <patternFill>
          <bgColor rgb="FFFFFFE5"/>
        </patternFill>
      </fill>
    </dxf>
    <dxf>
      <fill>
        <patternFill>
          <bgColor rgb="FFFEECE8"/>
        </patternFill>
      </fill>
    </dxf>
    <dxf>
      <fill>
        <patternFill>
          <bgColor rgb="FFE2E6F6"/>
        </patternFill>
      </fill>
    </dxf>
    <dxf>
      <fill>
        <patternFill>
          <bgColor theme="7" tint="0.79998168889431442"/>
        </patternFill>
      </fill>
    </dxf>
    <dxf>
      <fill>
        <patternFill>
          <bgColor theme="6" tint="0.79998168889431442"/>
        </patternFill>
      </fill>
    </dxf>
    <dxf>
      <fill>
        <patternFill>
          <bgColor rgb="FFFFFFE5"/>
        </patternFill>
      </fill>
    </dxf>
    <dxf>
      <fill>
        <patternFill>
          <bgColor rgb="FFFEECE8"/>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fill>
        <patternFill patternType="solid">
          <fgColor indexed="64"/>
          <bgColor theme="3"/>
        </patternFill>
      </fill>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lef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strike val="0"/>
        <outline val="0"/>
        <shadow val="0"/>
        <vertAlign val="baseline"/>
        <sz val="11"/>
        <name val="Consolas"/>
        <family val="3"/>
        <charset val="204"/>
        <scheme val="none"/>
      </font>
      <alignment vertical="center" textRotation="0" indent="0" justifyLastLine="0" shrinkToFit="0" readingOrder="0"/>
      <border outline="0">
        <left style="medium">
          <color rgb="FFDDDDDD"/>
        </left>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center" vertical="center" textRotation="0" wrapText="1" indent="0" justifyLastLine="0" shrinkToFit="0" readingOrder="0"/>
      <border diagonalUp="0" diagonalDown="0" outline="0">
        <left/>
        <right style="medium">
          <color rgb="FFDDDDDD"/>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right" vertical="center" textRotation="0" wrapText="1" indent="0" justifyLastLine="0" shrinkToFit="0" readingOrder="0"/>
      <border diagonalUp="0" diagonalDown="0" outline="0">
        <left style="medium">
          <color rgb="FFDDDDDD"/>
        </left>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righ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righ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righ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auto="1"/>
        <name val="Consolas"/>
        <family val="3"/>
        <charset val="204"/>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center"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border outline="0">
        <bottom style="medium">
          <color rgb="FFDDDDDD"/>
        </bottom>
      </border>
    </dxf>
    <dxf>
      <border outline="0">
        <left style="medium">
          <color rgb="FFDDDDDD"/>
        </left>
        <top style="medium">
          <color rgb="FFDDDDDD"/>
        </top>
      </border>
    </dxf>
    <dxf>
      <font>
        <b val="0"/>
        <i val="0"/>
        <strike val="0"/>
        <condense val="0"/>
        <extend val="0"/>
        <outline val="0"/>
        <shadow val="0"/>
        <u val="none"/>
        <vertAlign val="baseline"/>
        <sz val="11"/>
        <color rgb="FF333333"/>
        <name val="Consolas"/>
        <family val="3"/>
        <charset val="204"/>
        <scheme val="none"/>
      </font>
      <fill>
        <patternFill patternType="solid">
          <fgColor indexed="64"/>
          <bgColor rgb="FFFFFFFF"/>
        </patternFill>
      </fill>
      <alignment horizontal="right" vertical="center" textRotation="0" wrapText="1" indent="0" justifyLastLine="0" shrinkToFit="0" readingOrder="0"/>
    </dxf>
    <dxf>
      <font>
        <b/>
        <i val="0"/>
        <strike val="0"/>
        <condense val="0"/>
        <extend val="0"/>
        <outline val="0"/>
        <shadow val="0"/>
        <u val="none"/>
        <vertAlign val="baseline"/>
        <sz val="14"/>
        <color rgb="FF333333"/>
        <name val="Consolas"/>
        <family val="3"/>
        <charset val="204"/>
        <scheme val="none"/>
      </font>
      <fill>
        <patternFill patternType="solid">
          <fgColor indexed="64"/>
          <bgColor rgb="FFFFFFFF"/>
        </patternFill>
      </fill>
      <alignment horizontal="left" vertical="center" textRotation="0" wrapText="1" indent="0" justifyLastLine="0" shrinkToFit="0" readingOrder="0"/>
      <border diagonalUp="0" diagonalDown="0" outline="0">
        <left style="medium">
          <color rgb="FFDDDDDD"/>
        </left>
        <right style="medium">
          <color rgb="FFDDDDDD"/>
        </right>
        <top/>
        <bottom/>
      </border>
    </dxf>
    <dxf>
      <fill>
        <patternFill>
          <bgColor rgb="FFE2E6F6"/>
        </patternFill>
      </fill>
    </dxf>
    <dxf>
      <fill>
        <patternFill>
          <bgColor theme="7" tint="0.79998168889431442"/>
        </patternFill>
      </fill>
    </dxf>
    <dxf>
      <fill>
        <patternFill>
          <bgColor theme="6" tint="0.79998168889431442"/>
        </patternFill>
      </fill>
    </dxf>
    <dxf>
      <fill>
        <patternFill>
          <bgColor rgb="FFFFFFE5"/>
        </patternFill>
      </fill>
    </dxf>
    <dxf>
      <fill>
        <patternFill>
          <bgColor rgb="FFFEECE8"/>
        </patternFill>
      </fill>
    </dxf>
  </dxfs>
  <tableStyles count="0" defaultTableStyle="TableStyleMedium2" defaultPivotStyle="PivotStyleLight16"/>
  <colors>
    <mruColors>
      <color rgb="FFE2E6F6"/>
      <color rgb="FFFFFFE5"/>
      <color rgb="FFFEECE8"/>
      <color rgb="FFFDE1DB"/>
      <color rgb="FFFFFFCC"/>
      <color rgb="FFFFF7D1"/>
      <color rgb="FFC9EFE4"/>
      <color rgb="FFFDE4DF"/>
      <color rgb="FFFFF4BD"/>
      <color rgb="FFFBA7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connections" Target="connection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0</xdr:col>
      <xdr:colOff>57150</xdr:colOff>
      <xdr:row>0</xdr:row>
      <xdr:rowOff>76200</xdr:rowOff>
    </xdr:from>
    <xdr:to>
      <xdr:col>2</xdr:col>
      <xdr:colOff>676275</xdr:colOff>
      <xdr:row>9</xdr:row>
      <xdr:rowOff>66675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E388EB86-DA01-4361-9478-519FC20AF8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50" y="76200"/>
              <a:ext cx="2362200" cy="1724025"/>
            </a:xfrm>
            <a:prstGeom prst="rect">
              <a:avLst/>
            </a:prstGeom>
            <a:solidFill>
              <a:prstClr val="white"/>
            </a:solidFill>
            <a:ln w="1">
              <a:solidFill>
                <a:prstClr val="green"/>
              </a:solidFill>
            </a:ln>
          </xdr:spPr>
          <xdr:txBody>
            <a:bodyPr vertOverflow="clip" horzOverflow="clip"/>
            <a:lstStyle/>
            <a:p>
              <a:r>
                <a:rPr lang="uk-U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495300</xdr:colOff>
      <xdr:row>1</xdr:row>
      <xdr:rowOff>1</xdr:rowOff>
    </xdr:from>
    <xdr:to>
      <xdr:col>13</xdr:col>
      <xdr:colOff>495300</xdr:colOff>
      <xdr:row>9</xdr:row>
      <xdr:rowOff>161926</xdr:rowOff>
    </xdr:to>
    <mc:AlternateContent xmlns:mc="http://schemas.openxmlformats.org/markup-compatibility/2006" xmlns:sle15="http://schemas.microsoft.com/office/drawing/2012/slicer">
      <mc:Choice Requires="sle15">
        <xdr:graphicFrame macro="">
          <xdr:nvGraphicFramePr>
            <xdr:cNvPr id="2" name="Spec">
              <a:extLst>
                <a:ext uri="{FF2B5EF4-FFF2-40B4-BE49-F238E27FC236}">
                  <a16:creationId xmlns:a16="http://schemas.microsoft.com/office/drawing/2014/main" id="{595BF22E-A86A-42D9-A9C1-8C9337BBE188}"/>
                </a:ext>
              </a:extLst>
            </xdr:cNvPr>
            <xdr:cNvGraphicFramePr/>
          </xdr:nvGraphicFramePr>
          <xdr:xfrm>
            <a:off x="0" y="0"/>
            <a:ext cx="0" cy="0"/>
          </xdr:xfrm>
          <a:graphic>
            <a:graphicData uri="http://schemas.microsoft.com/office/drawing/2010/slicer">
              <sle:slicer xmlns:sle="http://schemas.microsoft.com/office/drawing/2010/slicer" name="Spec"/>
            </a:graphicData>
          </a:graphic>
        </xdr:graphicFrame>
      </mc:Choice>
      <mc:Fallback xmlns="">
        <xdr:sp macro="" textlink="">
          <xdr:nvSpPr>
            <xdr:cNvPr id="0" name=""/>
            <xdr:cNvSpPr>
              <a:spLocks noTextEdit="1"/>
            </xdr:cNvSpPr>
          </xdr:nvSpPr>
          <xdr:spPr>
            <a:xfrm>
              <a:off x="8934450" y="180976"/>
              <a:ext cx="1828800" cy="1695450"/>
            </a:xfrm>
            <a:prstGeom prst="rect">
              <a:avLst/>
            </a:prstGeom>
            <a:solidFill>
              <a:prstClr val="white"/>
            </a:solidFill>
            <a:ln w="1">
              <a:solidFill>
                <a:prstClr val="green"/>
              </a:solidFill>
            </a:ln>
          </xdr:spPr>
          <xdr:txBody>
            <a:bodyPr vertOverflow="clip" horzOverflow="clip"/>
            <a:lstStyle/>
            <a:p>
              <a:r>
                <a:rPr lang="uk-U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F3B4A9-8904-4B12-8123-304954E611A1}" autoFormatId="16" applyNumberFormats="0" applyBorderFormats="0" applyFontFormats="0" applyPatternFormats="0" applyAlignmentFormats="0" applyWidthHeightFormats="0">
  <queryTableRefresh nextId="9" unboundColumnsRight="2">
    <queryTableFields count="8">
      <queryTableField id="1" name="Note" tableColumnId="1"/>
      <queryTableField id="2" name="TechSkills" tableColumnId="2"/>
      <queryTableField id="3" name="Junior" tableColumnId="3"/>
      <queryTableField id="4" name="Middle" tableColumnId="4"/>
      <queryTableField id="5" name="Senior" tableColumnId="5"/>
      <queryTableField id="6" name="Expert" tableColumnId="6"/>
      <queryTableField id="7" dataBound="0" tableColumnId="7"/>
      <queryTableField id="8" dataBound="0"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C# .NET Core/NET 5 +</v>
    <v>1</v>
    <v>Generic</v>
    <v>Programming</v>
    <v>CLR, LINQ, async, threading, syntax, features</v>
    <v/>
    <v>C# .NET Core/NET 5 +</v>
    <v>General</v>
    <v>C# .NET Core/NET 5 +</v>
  </rv>
  <rv s="0">
    <v>0</v>
    <v>C# .NET Framework</v>
    <v>1</v>
    <v>Generic</v>
    <v>Programming</v>
    <v>CLR, LINQ, async, threading, syntax, features</v>
    <v/>
    <v>C# .NET Framework</v>
    <v>General</v>
    <v>C# .NET Framework</v>
  </rv>
  <rv s="0">
    <v>0</v>
    <v>.NET Standard</v>
    <v>1</v>
    <v>Generic</v>
    <v>Programming</v>
    <v/>
    <v/>
    <v>.NET Standard</v>
    <v>General</v>
    <v>.NET Standard</v>
  </rv>
  <rv s="0">
    <v>0</v>
    <v>ASP.NET Core</v>
    <v>1</v>
    <v>Generic</v>
    <v>Programming</v>
    <v>concepts, features, flows, tools, UI tools</v>
    <v/>
    <v>ASP.NET Core</v>
    <v>Web</v>
    <v>ASP.NET Core</v>
  </rv>
  <rv s="0">
    <v>0</v>
    <v>ASP.NET MVC</v>
    <v>1</v>
    <v>Generic</v>
    <v>Programming</v>
    <v>concepts, features, flows, tools, UI tools</v>
    <v/>
    <v>ASP.NET MVC</v>
    <v>Web</v>
    <v>ASP.NET MVC</v>
  </rv>
  <rv s="0">
    <v>0</v>
    <v>ASP.NET Web API</v>
    <v>1</v>
    <v>Generic</v>
    <v>Programming</v>
    <v>concepts, features, flows, tools</v>
    <v/>
    <v>ASP.NET Web API</v>
    <v>Web</v>
    <v>ASP.NET Web API</v>
  </rv>
  <rv s="0">
    <v>0</v>
    <v>OWIN</v>
    <v>1</v>
    <v>Generic</v>
    <v>Programming</v>
    <v/>
    <v/>
    <v>OWIN</v>
    <v>Web</v>
    <v>OWIN</v>
  </rv>
  <rv s="0">
    <v>0</v>
    <v>Blazor</v>
    <v>1</v>
    <v>Generic</v>
    <v>Programming</v>
    <v>concepts, features, flows, tools, UI tools</v>
    <v/>
    <v>Blazor</v>
    <v>Web</v>
    <v>Blazor</v>
  </rv>
  <rv s="0">
    <v>0</v>
    <v>Razor Pages</v>
    <v>1</v>
    <v>Generic</v>
    <v>Programming</v>
    <v>concepts, features, flows, tools, UI tools</v>
    <v/>
    <v>Razor Pages</v>
    <v>Web</v>
    <v>Razor Pages</v>
  </rv>
  <rv s="0">
    <v>0</v>
    <v>Rx.NET</v>
    <v>1</v>
    <v>Generic</v>
    <v>Programming</v>
    <v/>
    <v/>
    <v>Rx.NET</v>
    <v>Web</v>
    <v>Rx.NET</v>
  </rv>
  <rv s="0">
    <v>0</v>
    <v>SignalR</v>
    <v>1</v>
    <v>Generic</v>
    <v>Programming</v>
    <v/>
    <v/>
    <v>SignalR</v>
    <v>General</v>
    <v>SignalR</v>
  </rv>
  <rv s="0">
    <v>0</v>
    <v>Xamarin Forms</v>
    <v>1</v>
    <v>Generic</v>
    <v>Programming</v>
    <v/>
    <v/>
    <v>Xamarin Forms</v>
    <v>Mobile</v>
    <v>Xamarin Forms</v>
  </rv>
  <rv s="0">
    <v>0</v>
    <v>MAUI</v>
    <v>1</v>
    <v>Generic</v>
    <v>Programming</v>
    <v/>
    <v/>
    <v>MAUI</v>
    <v>Mobile</v>
    <v>MAUI</v>
  </rv>
  <rv s="0">
    <v>0</v>
    <v>Windows Forms</v>
    <v>1</v>
    <v>Generic</v>
    <v>Programming</v>
    <v>principles, controls, backend/UI features, app security</v>
    <v/>
    <v>Windows Forms</v>
    <v>Desktop</v>
    <v>Windows Forms</v>
  </rv>
  <rv s="0">
    <v>0</v>
    <v>WPF / XAML</v>
    <v>1</v>
    <v>Generic</v>
    <v>Programming</v>
    <v>principles, controls, backend/UI features, app security</v>
    <v/>
    <v>WPF / XAML</v>
    <v>Desktop</v>
    <v>WPF / XAML</v>
  </rv>
  <rv s="0">
    <v>0</v>
    <v>UWP</v>
    <v>1</v>
    <v>Generic</v>
    <v>Programming</v>
    <v>principles, controls, backend/UI features, app security</v>
    <v/>
    <v>UWP</v>
    <v>Desktop</v>
    <v>UWP</v>
  </rv>
  <rv s="0">
    <v>0</v>
    <v>MVC</v>
    <v>1</v>
    <v>Generic</v>
    <v>Architecture</v>
    <v/>
    <v/>
    <v>MVC</v>
    <v>Web</v>
    <v>MVC</v>
  </rv>
  <rv s="0">
    <v>0</v>
    <v>MVVM</v>
    <v>1</v>
    <v>Generic</v>
    <v>Architecture</v>
    <v/>
    <v/>
    <v>MVVM</v>
    <v>General</v>
    <v>MVVM</v>
  </rv>
  <rv s="0">
    <v>0</v>
    <v>REST</v>
    <v>1</v>
    <v>Generic</v>
    <v>Architecture</v>
    <v/>
    <v/>
    <v>REST</v>
    <v>Web</v>
    <v>REST</v>
  </rv>
  <rv s="0">
    <v>0</v>
    <v>Monolith Architecture</v>
    <v>1</v>
    <v>Generic</v>
    <v>Architecture</v>
    <v/>
    <v/>
    <v>Monolith Architecture</v>
    <v>General</v>
    <v>Monolith Architecture</v>
  </rv>
  <rv s="0">
    <v>0</v>
    <v>Layered Architecture</v>
    <v>1</v>
    <v>Generic</v>
    <v>Architecture</v>
    <v/>
    <v/>
    <v>Layered Architecture</v>
    <v>General</v>
    <v>Layered Architecture</v>
  </rv>
  <rv s="0">
    <v>0</v>
    <v>Service-Oriented Architecture</v>
    <v>1</v>
    <v>Generic</v>
    <v>Architecture</v>
    <v/>
    <v/>
    <v>Service-Oriented Architecture</v>
    <v>General</v>
    <v>Service-Oriented Architecture</v>
  </rv>
  <rv s="0">
    <v>0</v>
    <v>Microservices</v>
    <v>1</v>
    <v>Generic</v>
    <v>Architecture</v>
    <v/>
    <v/>
    <v>Microservices</v>
    <v>Web</v>
    <v>Microservices</v>
  </rv>
  <rv s="0">
    <v>0</v>
    <v>Distributed transactions</v>
    <v>1</v>
    <v>Generic</v>
    <v>Architecture</v>
    <v/>
    <v/>
    <v>Distributed transactions</v>
    <v>Web</v>
    <v>Distributed transactions</v>
  </rv>
  <rv s="0">
    <v>0</v>
    <v>Serverless Architecture</v>
    <v>1</v>
    <v>Generic</v>
    <v>Architecture</v>
    <v>Clouds</v>
    <v/>
    <v>Serverless Architecture</v>
    <v>Web</v>
    <v>Serverless Architecture</v>
  </rv>
  <rv s="0">
    <v>0</v>
    <v>CQRS</v>
    <v>1</v>
    <v>Generic</v>
    <v>Architecture</v>
    <v/>
    <v/>
    <v>CQRS</v>
    <v>General</v>
    <v>CQRS</v>
  </rv>
  <rv s="0">
    <v>0</v>
    <v>DDD (Domain-Driven Design)</v>
    <v>1</v>
    <v>Generic</v>
    <v>Architecture</v>
    <v/>
    <v/>
    <v>DDD (Domain-Driven Design)</v>
    <v>General</v>
    <v>DDD (Domain-Driven Design)</v>
  </rv>
  <rv s="0">
    <v>0</v>
    <v>EDA (Event Driven Architecture)</v>
    <v>1</v>
    <v>Generic</v>
    <v>Architecture</v>
    <v/>
    <v/>
    <v>EDA (Event Driven Architecture)</v>
    <v>General</v>
    <v>EDA (Event Driven Architecture)</v>
  </rv>
  <rv s="0">
    <v>0</v>
    <v>Message Queues</v>
    <v>1</v>
    <v>Generic</v>
    <v>Architecture</v>
    <v>Rabbit, MSMQ, Kafka</v>
    <v/>
    <v>Message Queues</v>
    <v>General</v>
    <v>Message Queues</v>
  </rv>
  <rv s="0">
    <v>0</v>
    <v>Event Sourcing</v>
    <v>1</v>
    <v>Generic</v>
    <v>Architecture</v>
    <v/>
    <v/>
    <v>Event Sourcing</v>
    <v>General</v>
    <v>Event Sourcing</v>
  </rv>
  <rv s="0">
    <v>0</v>
    <v>CAP theorem</v>
    <v>1</v>
    <v>Generic</v>
    <v>Architecture</v>
    <v/>
    <v/>
    <v>CAP theorem</v>
    <v>General</v>
    <v>CAP theorem</v>
  </rv>
  <rv s="0">
    <v>0</v>
    <v>Plug-in Architecture (MicroKernel)</v>
    <v>1</v>
    <v>Generic</v>
    <v>Architecture</v>
    <v>Microkernel Architecture</v>
    <v/>
    <v>Plug-in Architecture (MicroKernel)</v>
    <v>General</v>
    <v>Plug-in Architecture (MicroKernel)</v>
  </rv>
  <rv s="0">
    <v>0</v>
    <v>Circuit Breaker</v>
    <v>1</v>
    <v>Generic</v>
    <v>Architecture</v>
    <v/>
    <v/>
    <v>Circuit Breaker</v>
    <v>Web</v>
    <v>Circuit Breaker</v>
  </rv>
  <rv s="0">
    <v>0</v>
    <v>Azure Sevices</v>
    <v>1</v>
    <v>Generic</v>
    <v>Architecture</v>
    <v>Data Storage, Azure Functions, CosmoDB</v>
    <v> Exam AZ-204, AZ-900</v>
    <v>Azure Sevices</v>
    <v>General</v>
    <v>Azure Sevices</v>
  </rv>
  <rv s="0">
    <v>0</v>
    <v>AWS Services</v>
    <v>1</v>
    <v>Generic</v>
    <v>Architecture</v>
    <v>S3, DynamoDB, SQS, EC2</v>
    <v/>
    <v>AWS Services</v>
    <v>General</v>
    <v>AWS Services</v>
  </rv>
  <rv s="0">
    <v>0</v>
    <v>Google Clouds</v>
    <v>1</v>
    <v>Generic</v>
    <v>Architecture</v>
    <v>Cloud functions, Spanner, Firebase, Storage, BigQuery</v>
    <v/>
    <v>Google Clouds</v>
    <v>General</v>
    <v>Google Clouds</v>
  </rv>
  <rv s="0">
    <v>0</v>
    <v>IaaS, PaaS, SaaS, CaaS</v>
    <v>1</v>
    <v>Generic</v>
    <v>Architecture</v>
    <v>explanation, understanding</v>
    <v/>
    <v>IaaS, PaaS, SaaS, CaaS</v>
    <v>Web</v>
    <v>IaaS, PaaS, SaaS, CaaS</v>
  </rv>
  <rv s="0">
    <v>0</v>
    <v>Data structures</v>
    <v>1</v>
    <v>Generic</v>
    <v>Computer Science</v>
    <v>Trees, Arrays, Hashtables, Graph, etc</v>
    <v/>
    <v>Data structures</v>
    <v>General</v>
    <v>Data structures</v>
  </rv>
  <rv s="0">
    <v>0</v>
    <v>Hashtable/HashSets</v>
    <v>1</v>
    <v>Generic</v>
    <v>Computer Science</v>
    <v/>
    <v/>
    <v>Hashtable/HashSets</v>
    <v>General</v>
    <v>Hashtable/HashSets</v>
  </rv>
  <rv s="0">
    <v>0</v>
    <v xml:space="preserve">.NET collections </v>
    <v>1</v>
    <v>Generic</v>
    <v>Computer Science</v>
    <v>(List, [], Stack, Queue, etc)</v>
    <v/>
    <v xml:space="preserve">.NET collections </v>
    <v>General</v>
    <v xml:space="preserve">.NET collections </v>
  </rv>
  <rv s="0">
    <v>0</v>
    <v>DFS and BFS</v>
    <v>1</v>
    <v>Generic</v>
    <v>Computer Science</v>
    <v>(Depth/Breadth First Search)</v>
    <v/>
    <v>DFS and BFS</v>
    <v>General</v>
    <v>DFS and BFS</v>
  </rv>
  <rv s="0">
    <v>0</v>
    <v>Algorithms complexity</v>
    <v>1</v>
    <v>Generic</v>
    <v>Computer Science</v>
    <v/>
    <v/>
    <v>Algorithms complexity</v>
    <v>General</v>
    <v>Algorithms complexity</v>
  </rv>
  <rv s="0">
    <v>0</v>
    <v>Sorting algorithms</v>
    <v>1</v>
    <v>Generic</v>
    <v>Computer Science</v>
    <v>Bubble, Merge, Heap, Quick, etc.</v>
    <v/>
    <v>Sorting algorithms</v>
    <v>General</v>
    <v>Sorting algorithms</v>
  </rv>
  <rv s="0">
    <v>0</v>
    <v>Dijkstra</v>
    <v>1</v>
    <v>Generic</v>
    <v>Computer Science</v>
    <v/>
    <v/>
    <v>Dijkstra</v>
    <v>General</v>
    <v>Dijkstra</v>
  </rv>
  <rv s="0">
    <v>0</v>
    <v>Rabin Karp search</v>
    <v>1</v>
    <v>Generic</v>
    <v>Computer Science</v>
    <v/>
    <v/>
    <v>Rabin Karp search</v>
    <v>General</v>
    <v>Rabin Karp search</v>
  </rv>
  <rv s="0">
    <v>0</v>
    <v>KMP (Knuth–Morris–Pratt) algorithm</v>
    <v>1</v>
    <v>Generic</v>
    <v>Computer Science</v>
    <v/>
    <v/>
    <v>KMP (Knuth–Morris–Pratt) algorithm</v>
    <v>General</v>
    <v>KMP (Knuth–Morris–Pratt) algorithm</v>
  </rv>
  <rv s="0">
    <v>0</v>
    <v>Disjoint Set / Union-Find</v>
    <v>1</v>
    <v>Generic</v>
    <v>Computer Science</v>
    <v/>
    <v/>
    <v>Disjoint Set / Union-Find</v>
    <v>General</v>
    <v>Disjoint Set / Union-Find</v>
  </rv>
  <rv s="0">
    <v>0</v>
    <v>SQL/MySQL, SQLite</v>
    <v>1</v>
    <v>Generic</v>
    <v>Data Persistence</v>
    <v>DB design, DB principles, DML, DDL, procedures, funcions</v>
    <v/>
    <v>SQL/MySQL, SQLite</v>
    <v>General</v>
    <v>SQL/MySQL, SQLite</v>
  </rv>
  <rv s="0">
    <v>0</v>
    <v>NoSQL</v>
    <v>1</v>
    <v>Generic</v>
    <v>Data Persistence</v>
    <v>Mongo, Redis, types, purpose, experience with at least one</v>
    <v/>
    <v>NoSQL</v>
    <v>General</v>
    <v>NoSQL</v>
  </rv>
  <rv s="0">
    <v>0</v>
    <v>ORMs</v>
    <v>1</v>
    <v>Generic</v>
    <v>Data Persistence</v>
    <v>EntityFramework, Dapper, Nhibernate</v>
    <v/>
    <v>ORMs</v>
    <v>General</v>
    <v>ORMs</v>
  </rv>
  <rv s="0">
    <v>0</v>
    <v>Entity Framework</v>
    <v>1</v>
    <v>Generic</v>
    <v>Data Persistence</v>
    <v>principles, approaches, migrations, inheritance, fluentAPI</v>
    <v/>
    <v>Entity Framework</v>
    <v>General</v>
    <v>Entity Framework</v>
  </rv>
  <rv s="0">
    <v>0</v>
    <v>ACID/BASE</v>
    <v>1</v>
    <v>Generic</v>
    <v>Data Persistence</v>
    <v/>
    <v/>
    <v>ACID/BASE</v>
    <v>General</v>
    <v>ACID/BASE</v>
  </rv>
  <rv s="0">
    <v>0</v>
    <v>Caching</v>
    <v>1</v>
    <v>Generic</v>
    <v>Data Persistence</v>
    <v>principles, tools</v>
    <v/>
    <v>Caching</v>
    <v>General</v>
    <v>Caching</v>
  </rv>
  <rv s="0">
    <v>0</v>
    <v>Branching strategies</v>
    <v>1</v>
    <v>Generic</v>
    <v>DevOps</v>
    <v>Git Flow, GitHub Flow, GitLab Flow, Trunk-based, principles</v>
    <v/>
    <v>Branching strategies</v>
    <v>General</v>
    <v>Branching strategies</v>
  </rv>
  <rv s="0">
    <v>0</v>
    <v>Deployment strategies</v>
    <v>1</v>
    <v>Generic</v>
    <v>DevOps</v>
    <v>Canary, Green-Blue, etc</v>
    <v/>
    <v>Deployment strategies</v>
    <v>General</v>
    <v>Deployment strategies</v>
  </rv>
  <rv s="0">
    <v>0</v>
    <v>Source controls</v>
    <v>1</v>
    <v>Generic</v>
    <v>DevOps</v>
    <v>Git, SVN, types, common operations, experience</v>
    <v/>
    <v>Source controls</v>
    <v>General</v>
    <v>Source controls</v>
  </rv>
  <rv s="0">
    <v>0</v>
    <v>CI/CD tools</v>
    <v>1</v>
    <v>Generic</v>
    <v>DevOps</v>
    <v>Gitlab, Github, Jenkins, Azure DevOps, TeamCity, principles</v>
    <v/>
    <v>CI/CD tools</v>
    <v>General</v>
    <v>CI/CD tools</v>
  </rv>
  <rv s="0">
    <v>0</v>
    <v>Docker</v>
    <v>1</v>
    <v>Generic</v>
    <v>DevOps</v>
    <v/>
    <v/>
    <v>Docker</v>
    <v>General</v>
    <v>Docker</v>
  </rv>
  <rv s="0">
    <v>0</v>
    <v>Kubernetes</v>
    <v>1</v>
    <v>Generic</v>
    <v>DevOps</v>
    <v/>
    <v/>
    <v>Kubernetes</v>
    <v>General</v>
    <v>Kubernetes</v>
  </rv>
  <rv s="0">
    <v>0</v>
    <v>TCP/IP, UDP, SMTP</v>
    <v>1</v>
    <v>Generic</v>
    <v>Networks</v>
    <v/>
    <v/>
    <v>TCP/IP, UDP, SMTP</v>
    <v>General</v>
    <v>TCP/IP, UDP, SMTP</v>
  </rv>
  <rv s="0">
    <v>0</v>
    <v>RPC</v>
    <v>1</v>
    <v>Generic</v>
    <v>Networks</v>
    <v/>
    <v/>
    <v>RPC</v>
    <v>General</v>
    <v>RPC</v>
  </rv>
  <rv s="0">
    <v>0</v>
    <v>VPN</v>
    <v>1</v>
    <v>Generic</v>
    <v>Networks</v>
    <v/>
    <v/>
    <v>VPN</v>
    <v>General</v>
    <v>VPN</v>
  </rv>
  <rv s="0">
    <v>0</v>
    <v>DNS</v>
    <v>1</v>
    <v>Generic</v>
    <v>Networks</v>
    <v/>
    <v/>
    <v>DNS</v>
    <v>General</v>
    <v>DNS</v>
  </rv>
  <rv s="0">
    <v>0</v>
    <v>HTTP and HTTPS</v>
    <v>1</v>
    <v>Generic</v>
    <v>Networks</v>
    <v/>
    <v/>
    <v>HTTP and HTTPS</v>
    <v>General</v>
    <v>HTTP and HTTPS</v>
  </rv>
  <rv s="0">
    <v>0</v>
    <v>HTTP/2</v>
    <v>1</v>
    <v>Generic</v>
    <v>Networks</v>
    <v/>
    <v/>
    <v>HTTP/2</v>
    <v>General</v>
    <v>HTTP/2</v>
  </rv>
  <rv s="0">
    <v>0</v>
    <v>Sockets</v>
    <v>1</v>
    <v>Generic</v>
    <v>Networks</v>
    <v/>
    <v/>
    <v>Sockets</v>
    <v>General</v>
    <v>Sockets</v>
  </rv>
  <rv s="0">
    <v>0</v>
    <v>gRPC</v>
    <v>1</v>
    <v>Generic</v>
    <v>Networks</v>
    <v/>
    <v/>
    <v>gRPC</v>
    <v>General</v>
    <v>gRPC</v>
  </rv>
  <rv s="0">
    <v>0</v>
    <v>OOP</v>
    <v>1</v>
    <v>Generic</v>
    <v>Patterns &amp; Practices</v>
    <v>principles, benefits, issues</v>
    <v/>
    <v>OOP</v>
    <v>General</v>
    <v>OOP</v>
  </rv>
  <rv s="0">
    <v>0</v>
    <v>SOLID principles</v>
    <v>1</v>
    <v>Generic</v>
    <v>Patterns &amp; Practices</v>
    <v/>
    <v/>
    <v>SOLID principles</v>
    <v>General</v>
    <v>SOLID principles</v>
  </rv>
  <rv s="0">
    <v>0</v>
    <v>Functional</v>
    <v>1</v>
    <v>Generic</v>
    <v>Patterns &amp; Practices</v>
    <v/>
    <v/>
    <v>Functional</v>
    <v>General</v>
    <v>Functional</v>
  </rv>
  <rv s="0">
    <v>0</v>
    <v>Dependency injection</v>
    <v>1</v>
    <v>Generic</v>
    <v>Patterns &amp; Practices</v>
    <v/>
    <v/>
    <v>Dependency injection</v>
    <v>General</v>
    <v>Dependency injection</v>
  </rv>
  <rv s="0">
    <v>0</v>
    <v>CQS</v>
    <v>1</v>
    <v>Generic</v>
    <v>Patterns &amp; Practices</v>
    <v/>
    <v/>
    <v>CQS</v>
    <v>General</v>
    <v>CQS</v>
  </rv>
  <rv s="0">
    <v>0</v>
    <v>Repository and UoW</v>
    <v>1</v>
    <v>Generic</v>
    <v>Patterns &amp; Practices</v>
    <v/>
    <v/>
    <v>Repository and UoW</v>
    <v>General</v>
    <v>Repository and UoW</v>
  </rv>
  <rv s="0">
    <v>0</v>
    <v>Design Patterns</v>
    <v>1</v>
    <v>Generic</v>
    <v>Patterns &amp; Practices</v>
    <v>.NET Design Patterns</v>
    <v/>
    <v>Design Patterns</v>
    <v>General</v>
    <v>Design Patterns</v>
  </rv>
  <rv s="0">
    <v>0</v>
    <v>Event-driven</v>
    <v>1</v>
    <v>Generic</v>
    <v>Patterns &amp; Practices</v>
    <v/>
    <v/>
    <v>Event-driven</v>
    <v>General</v>
    <v>Event-driven</v>
  </rv>
  <rv s="0">
    <v>0</v>
    <v>DRY (Don't Repeat Yourself)</v>
    <v>1</v>
    <v>Generic</v>
    <v>Patterns &amp; Practices</v>
    <v/>
    <v/>
    <v>DRY (Don't Repeat Yourself)</v>
    <v>General</v>
    <v>DRY (Don't Repeat Yourself)</v>
  </rv>
  <rv s="0">
    <v>0</v>
    <v>IoC (Hollywood Principle)</v>
    <v>1</v>
    <v>Generic</v>
    <v>Patterns &amp; Practices</v>
    <v/>
    <v/>
    <v>IoC (Hollywood Principle)</v>
    <v>General</v>
    <v>IoC (Hollywood Principle)</v>
  </rv>
  <rv s="0">
    <v>0</v>
    <v>KISS</v>
    <v>1</v>
    <v>Generic</v>
    <v>Patterns &amp; Practices</v>
    <v/>
    <v/>
    <v>KISS</v>
    <v>General</v>
    <v>KISS</v>
  </rv>
  <rv s="0">
    <v>0</v>
    <v>YAGNI</v>
    <v>1</v>
    <v>Generic</v>
    <v>Patterns &amp; Practices</v>
    <v/>
    <v/>
    <v>YAGNI</v>
    <v>General</v>
    <v>YAGNI</v>
  </rv>
  <rv s="0">
    <v>0</v>
    <v>Integration Testing</v>
    <v>1</v>
    <v>Generic</v>
    <v>Patterns &amp; Practices</v>
    <v/>
    <v/>
    <v>Integration Testing</v>
    <v>General</v>
    <v>Integration Testing</v>
  </rv>
  <rv s="0">
    <v>0</v>
    <v>Unit Testing</v>
    <v>1</v>
    <v>Generic</v>
    <v>Patterns &amp; Practices</v>
    <v/>
    <v/>
    <v>Unit Testing</v>
    <v>General</v>
    <v>Unit Testing</v>
  </rv>
  <rv s="0">
    <v>0</v>
    <v>Basic Authentication</v>
    <v>1</v>
    <v>Generic</v>
    <v>Security</v>
    <v/>
    <v/>
    <v>Basic Authentication</v>
    <v>General</v>
    <v>Basic Authentication</v>
  </rv>
  <rv s="0">
    <v>0</v>
    <v>Two-factor Authentication</v>
    <v>1</v>
    <v>Generic</v>
    <v>Security</v>
    <v/>
    <v/>
    <v>Two-factor Authentication</v>
    <v>General</v>
    <v>Two-factor Authentication</v>
  </rv>
  <rv s="0">
    <v>0</v>
    <v>Resource-based Authorization</v>
    <v>1</v>
    <v>Generic</v>
    <v>Security</v>
    <v/>
    <v/>
    <v>Resource-based Authorization</v>
    <v>General</v>
    <v>Resource-based Authorization</v>
  </rv>
  <rv s="0">
    <v>0</v>
    <v>JWT Bearer</v>
    <v>1</v>
    <v>Generic</v>
    <v>Security</v>
    <v>principles, structure, how work</v>
    <v/>
    <v>JWT Bearer</v>
    <v>Web</v>
    <v>JWT Bearer</v>
  </rv>
  <rv s="0">
    <v>0</v>
    <v>SSO (Single Sign-On)</v>
    <v>1</v>
    <v>Generic</v>
    <v>Security</v>
    <v/>
    <v/>
    <v>SSO (Single Sign-On)</v>
    <v>Web</v>
    <v>SSO (Single Sign-On)</v>
  </rv>
  <rv s="0">
    <v>0</v>
    <v>Oauth/OIDC (OpedID Connect)</v>
    <v>1</v>
    <v>Generic</v>
    <v>Security</v>
    <v/>
    <v/>
    <v>Oauth/OIDC (OpedID Connect)</v>
    <v>Web</v>
    <v>Oauth/OIDC (OpedID Connect)</v>
  </rv>
  <rv s="0">
    <v>0</v>
    <v>Encryption</v>
    <v>1</v>
    <v>Generic</v>
    <v>Security</v>
    <v>types, Diffie-Hellman Algorithm, keys, flow, purpose</v>
    <v/>
    <v>Encryption</v>
    <v>General</v>
    <v>Encryption</v>
  </rv>
  <rv s="0">
    <v>0</v>
    <v>Digital Signature</v>
    <v>1</v>
    <v>Generic</v>
    <v>Security</v>
    <v/>
    <v/>
    <v>Digital Signature</v>
    <v>General</v>
    <v>Digital Signature</v>
  </rv>
  <rv s="0">
    <v>0</v>
    <v>OWASP Top 10 Vulnerabilities</v>
    <v>1</v>
    <v>Generic</v>
    <v>Security</v>
    <v>types, prevention, flow</v>
    <v/>
    <v>OWASP Top 10 Vulnerabilities</v>
    <v>General</v>
    <v>OWASP Top 10 Vulnerabilities</v>
  </rv>
  <rv s="0">
    <v>0</v>
    <v>Block-chain</v>
    <v>1</v>
    <v>Generic</v>
    <v>Security</v>
    <v/>
    <v/>
    <v>Block-chain</v>
    <v>General</v>
    <v>Block-chain</v>
  </rv>
  <rv s="0">
    <v>0</v>
    <v>SDLC</v>
    <v>1</v>
    <v>Generic</v>
    <v>SDLC</v>
    <v>Kanban/SCRUM/Waterfall comparison, flow, practices</v>
    <v/>
    <v>SDLC</v>
    <v>General</v>
    <v>SDLC</v>
  </rv>
  <rv s="0">
    <v>0</v>
    <v>TDD</v>
    <v>1</v>
    <v>Generic</v>
    <v>SDLC</v>
    <v/>
    <v/>
    <v>TDD</v>
    <v>General</v>
    <v>TDD</v>
  </rv>
  <rv s="0">
    <v>0</v>
    <v>BDD</v>
    <v>1</v>
    <v>Generic</v>
    <v>SDLC</v>
    <v/>
    <v/>
    <v>BDD</v>
    <v>General</v>
    <v>BDD</v>
  </rv>
  <rv s="0">
    <v>0</v>
    <v>Estimation techniques</v>
    <v>1</v>
    <v>Generic</v>
    <v>SDLC</v>
    <v>Bucket, T-Shirt, Poker, Dot, etc</v>
    <v/>
    <v>Estimation techniques</v>
    <v>General</v>
    <v>Estimation techniques</v>
  </rv>
  <rv s="0">
    <v>0</v>
    <v>AI basic concepts</v>
    <v>1</v>
    <v>Generic</v>
    <v>AI/LLM</v>
    <v>AI definiition, GenAI definition, AI players on the market</v>
    <v>AI-102</v>
    <v>AI basic concepts</v>
    <v>General</v>
    <v>AI basic concepts</v>
  </rv>
  <rv s="0">
    <v>0</v>
    <v>LLM concepts</v>
    <v>1</v>
    <v>Generic</v>
    <v>AI/LLM</v>
    <v>LLM definition, how it works, what can it solve, how to work locally with LLM, Be able do demonstrate basic practical LLM knowledge when working with code, LLM characteristics (How LLMs store information?
What is model quantization and how does it impact the performance of LLMs?
What is the token in LLM meaning?
What is the embeddings in context of LLMs?
What is the context in LLM meaning?
What is the hallucinations and temperature in LLM meaning?
What is the fine-tuning in context of LLMs?
What is the Retrieval Augmented Generation (RAG) and why do we need it?)</v>
    <v/>
    <v>LLM concepts</v>
    <v>General</v>
    <v>LLM concepts</v>
  </rv>
  <rv s="0">
    <v>0</v>
    <v>Prompt Engineering</v>
    <v>1</v>
    <v>Generic</v>
    <v>AI/LLM</v>
    <v>What are characteristics of the good prompt?
Basic prompt techniques:
Chain-of-thoughts
Zero-shot learning
One-shot learning
Few-shot learning
Self-consistency</v>
    <v/>
    <v>Prompt Engineering</v>
    <v>General</v>
    <v>Prompt Engineering</v>
  </rv>
  <rv s="0">
    <v>0</v>
    <v>OWASP vulnerabilities on AI/LLM</v>
    <v>1</v>
    <v>Generic</v>
    <v>AI/LLM</v>
    <v>Which security rules you must follow in communication with LLMs?
Why it's important to validate answers from LLMs?
LLMs integration: knows security risks mitigation techniques:
Input Sanitization and Validation
Input Encryption
Rate-Limiting and Authentication
Content Moderation and Output Filtering
Monitoring and Logging
Fine-tuning
When/why clients can refuse LLMs usage?</v>
    <v/>
    <v>OWASP vulnerabilities on AI/LLM</v>
    <v>General</v>
    <v>OWASP vulnerabilities on AI/LLM</v>
  </rv>
  <rv s="0">
    <v>0</v>
    <v>AI Frameworks</v>
    <v>1</v>
    <v>Generic</v>
    <v>AI/LLM</v>
    <v>Understand how Semantic Kernel framework works at a high level</v>
    <v/>
    <v>AI Frameworks</v>
    <v>General</v>
    <v>AI Frameworks</v>
  </rv>
  <rv s="0">
    <v>0</v>
    <v>AI tools</v>
    <v>1</v>
    <v>Generic</v>
    <v>AI/LLM</v>
    <v>Is aware of GitHub Copilot functionality</v>
    <v/>
    <v>AI tools</v>
    <v>General</v>
    <v>AI tools</v>
  </rv>
</rvData>
</file>

<file path=xl/richData/rdrichvaluestructure.xml><?xml version="1.0" encoding="utf-8"?>
<rvStructures xmlns="http://schemas.microsoft.com/office/spreadsheetml/2017/richdata" count="1">
  <s t="_entity">
    <k n="_Display" t="spb"/>
    <k n="_DisplayString" t="s"/>
    <k n="_Format" t="spb"/>
    <k n="_Icon" t="s"/>
    <k n="Category" t="s"/>
    <k n="Comments" t="s"/>
    <k n="Exam" t="s"/>
    <k n="Skills" t="s"/>
    <k n="Spec" t="s"/>
    <k n="Title" t="s"/>
  </s>
</rvStructures>
</file>

<file path=xl/richData/rdsupportingpropertybag.xml><?xml version="1.0" encoding="utf-8"?>
<supportingPropertyBags xmlns="http://schemas.microsoft.com/office/spreadsheetml/2017/richdata2">
  <spbArrays count="1">
    <a count="10">
      <v t="s">_Icon</v>
      <v t="s">_DisplayString</v>
      <v t="s">_Display</v>
      <v t="s">Title</v>
      <v t="s">_Format</v>
      <v t="s">Spec</v>
      <v t="s">Skills</v>
      <v t="s">Category</v>
      <v t="s">Comments</v>
      <v t="s">Exam</v>
    </a>
  </spbArrays>
  <spbData count="2">
    <spb s="0">
      <v>0</v>
      <v>Title</v>
    </spb>
    <spb s="1">
      <v>1</v>
    </spb>
  </spbData>
</supportingPropertyBags>
</file>

<file path=xl/richData/rdsupportingpropertybagstructure.xml><?xml version="1.0" encoding="utf-8"?>
<spbStructures xmlns="http://schemas.microsoft.com/office/spreadsheetml/2017/richdata2" count="2">
  <s>
    <k n="^Order" t="spba"/>
    <k n="TitleProperty" t="s"/>
  </s>
  <s>
    <k n="Titl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richProperties>
    <rPr n="IsTitleField" t="b"/>
  </richProperties>
  <richStyles>
    <rSty>
      <rpv i="0">1</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9A602D-E1A3-471A-B107-91603E01B29C}" sourceName="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 xr10:uid="{D471BE53-5723-4B38-B9CE-09A85F4E8C1C}" sourceName="Spec">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8A05499-513A-482D-A372-4017166713EE}" cache="Slicer_Category" columnCount="2"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 xr10:uid="{E290A441-2B9D-4B65-8707-228FF5AE38F1}" cache="Slicer_Spec" caption="Spec"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1EE6D7-4FC7-456B-9CB7-6ED577E7DE13}" name="Table2" displayName="Table2" ref="C11:L112" totalsRowShown="0" headerRowDxfId="37" dataDxfId="36" headerRowBorderDxfId="34" tableBorderDxfId="35">
  <autoFilter ref="C11:L112" xr:uid="{E31EE6D7-4FC7-456B-9CB7-6ED577E7DE13}"/>
  <tableColumns count="10">
    <tableColumn id="10" xr3:uid="{28FB51C9-83B6-4B9F-A7AE-64B0A81A133B}" name="Spec" dataDxfId="33"/>
    <tableColumn id="2" xr3:uid="{EB6C6EF4-BD3A-4FE5-B5B4-7B0B99A7BAC4}" name="Note" dataDxfId="32"/>
    <tableColumn id="3" xr3:uid="{0E717F91-6712-450E-BE82-A759C9C5931F}" name="Skills" dataDxfId="31"/>
    <tableColumn id="4" xr3:uid="{1D497ADF-863E-430E-895F-E5EB2CF7D9B7}" name="Junior" dataDxfId="30"/>
    <tableColumn id="5" xr3:uid="{B676DF5A-F66E-4DAE-B69C-8B1D14FCABCE}" name="Middle" dataDxfId="29"/>
    <tableColumn id="6" xr3:uid="{65F2A432-F1DD-4CBA-AA8B-B073C267DD17}" name="Senior" dataDxfId="28"/>
    <tableColumn id="7" xr3:uid="{8FAE5E2E-3A0A-460C-B49D-031C6DEC44AD}" name="Expert" dataDxfId="27"/>
    <tableColumn id="1" xr3:uid="{35CCEC62-0901-4D22-A639-0BB722A0687B}" name="Category" dataDxfId="26"/>
    <tableColumn id="8" xr3:uid="{ABD91139-8951-46FA-8C1B-AED16406BF67}" name="Comments" dataDxfId="25"/>
    <tableColumn id="9" xr3:uid="{BA9747AA-7F46-454F-B313-2B3E5522D364}" name="Exam" dataDxfId="24"/>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72B912-04B1-4A53-BD93-26A0D318BCD1}" name="groupedTable" displayName="groupedTable" ref="B2:I103" tableType="queryTable" totalsRowShown="0" headerRowDxfId="23">
  <autoFilter ref="B2:I103" xr:uid="{1372B912-04B1-4A53-BD93-26A0D318BCD1}"/>
  <tableColumns count="8">
    <tableColumn id="1" xr3:uid="{892E7B8D-8AE2-479E-80BA-63107AFBB124}" uniqueName="1" name="Note" queryTableFieldId="1" dataDxfId="22"/>
    <tableColumn id="2" xr3:uid="{57571450-698F-41E8-B64B-67062521370C}" uniqueName="2" name="TechSkills" queryTableFieldId="2" dataDxfId="21"/>
    <tableColumn id="3" xr3:uid="{2BD27207-0B91-44F6-8B32-E6F6DBCEFC27}" uniqueName="3" name="Junior" queryTableFieldId="3" dataDxfId="20"/>
    <tableColumn id="4" xr3:uid="{30BB5998-BA4C-4F7E-81A1-DC95B053664C}" uniqueName="4" name="Middle" queryTableFieldId="4" dataDxfId="19"/>
    <tableColumn id="5" xr3:uid="{AE7B084C-1A30-4571-84F3-B2C49DFB646B}" uniqueName="5" name="Senior" queryTableFieldId="5" dataDxfId="18"/>
    <tableColumn id="6" xr3:uid="{DCC615C5-A951-4464-8FBB-EC6CCADEB241}" uniqueName="6" name="Expert" queryTableFieldId="6" dataDxfId="17"/>
    <tableColumn id="7" xr3:uid="{9B659AEE-AEC2-4F56-8DB5-7B9C23C13DA6}" uniqueName="7" name="Category" queryTableFieldId="7" dataDxfId="16">
      <calculatedColumnFormula array="1">_FV(groupedTable[[#This Row],[TechSkills]],"Category")</calculatedColumnFormula>
    </tableColumn>
    <tableColumn id="8" xr3:uid="{7F8ABB5F-2CD5-4DBB-8FCA-403ACA94F6AB}" uniqueName="8" name="Spec" queryTableFieldId="8" dataDxfId="15">
      <calculatedColumnFormula array="1">_FV(groupedTable[[#This Row],[TechSkills]],"Spec")</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factory.com/net/design-patterns" TargetMode="External"/><Relationship Id="rId1" Type="http://schemas.openxmlformats.org/officeDocument/2006/relationships/hyperlink" Target="https://learning.oreilly.com/library/view/software-architecture-patterns/9781491971437/ch03.html"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E59B-0BAC-4643-83C8-20DEFAB9A5E9}">
  <dimension ref="C1:L112"/>
  <sheetViews>
    <sheetView tabSelected="1" workbookViewId="0">
      <pane ySplit="11" topLeftCell="A12" activePane="bottomLeft" state="frozen"/>
      <selection pane="bottomLeft" activeCell="K12" sqref="K12"/>
    </sheetView>
  </sheetViews>
  <sheetFormatPr defaultColWidth="23.42578125" defaultRowHeight="14.45"/>
  <cols>
    <col min="1" max="1" width="16.28515625" style="4" customWidth="1"/>
    <col min="2" max="2" width="12.140625" style="4" customWidth="1"/>
    <col min="3" max="3" width="11.28515625" style="3" customWidth="1"/>
    <col min="4" max="4" width="10" style="3" bestFit="1" customWidth="1"/>
    <col min="5" max="5" width="43.85546875" style="4" bestFit="1" customWidth="1"/>
    <col min="6" max="6" width="11.85546875" style="4" bestFit="1" customWidth="1"/>
    <col min="7" max="9" width="12" style="4" bestFit="1" customWidth="1"/>
    <col min="10" max="10" width="24.28515625" style="4" bestFit="1" customWidth="1"/>
    <col min="11" max="11" width="67.28515625" style="4" customWidth="1"/>
    <col min="12" max="12" width="33.85546875" style="4" bestFit="1" customWidth="1"/>
    <col min="13" max="16384" width="23.42578125" style="4"/>
  </cols>
  <sheetData>
    <row r="1" spans="3:12" ht="15" thickBot="1"/>
    <row r="2" spans="3:12">
      <c r="D2" s="19" t="s">
        <v>0</v>
      </c>
      <c r="E2" s="103" t="s">
        <v>1</v>
      </c>
      <c r="F2" s="104"/>
      <c r="G2" s="104"/>
      <c r="H2" s="104"/>
      <c r="I2" s="105"/>
      <c r="J2" s="25" t="s">
        <v>2</v>
      </c>
    </row>
    <row r="3" spans="3:12">
      <c r="D3" s="20" t="s">
        <v>3</v>
      </c>
      <c r="E3" s="106" t="s">
        <v>4</v>
      </c>
      <c r="F3" s="107"/>
      <c r="G3" s="107"/>
      <c r="H3" s="107"/>
      <c r="I3" s="108"/>
      <c r="J3" s="26" t="s">
        <v>5</v>
      </c>
    </row>
    <row r="4" spans="3:12">
      <c r="D4" s="52">
        <v>1</v>
      </c>
      <c r="E4" s="109" t="s">
        <v>6</v>
      </c>
      <c r="F4" s="110"/>
      <c r="G4" s="110"/>
      <c r="H4" s="110"/>
      <c r="I4" s="111"/>
      <c r="J4" s="53" t="s">
        <v>7</v>
      </c>
    </row>
    <row r="5" spans="3:12">
      <c r="D5" s="21">
        <v>2</v>
      </c>
      <c r="E5" s="112" t="s">
        <v>8</v>
      </c>
      <c r="F5" s="113"/>
      <c r="G5" s="113"/>
      <c r="H5" s="113"/>
      <c r="I5" s="114"/>
      <c r="J5" s="27" t="s">
        <v>9</v>
      </c>
    </row>
    <row r="6" spans="3:12">
      <c r="D6" s="22">
        <v>3</v>
      </c>
      <c r="E6" s="115" t="s">
        <v>10</v>
      </c>
      <c r="F6" s="116"/>
      <c r="G6" s="116"/>
      <c r="H6" s="116"/>
      <c r="I6" s="117"/>
      <c r="J6" s="28" t="s">
        <v>11</v>
      </c>
    </row>
    <row r="7" spans="3:12">
      <c r="D7" s="23">
        <v>4</v>
      </c>
      <c r="E7" s="97" t="s">
        <v>12</v>
      </c>
      <c r="F7" s="98"/>
      <c r="G7" s="98"/>
      <c r="H7" s="98"/>
      <c r="I7" s="99"/>
      <c r="J7" s="29" t="s">
        <v>13</v>
      </c>
    </row>
    <row r="8" spans="3:12" ht="15" thickBot="1">
      <c r="D8" s="24">
        <v>5</v>
      </c>
      <c r="E8" s="100" t="s">
        <v>14</v>
      </c>
      <c r="F8" s="101"/>
      <c r="G8" s="101"/>
      <c r="H8" s="101"/>
      <c r="I8" s="102"/>
      <c r="J8" s="30" t="s">
        <v>15</v>
      </c>
    </row>
    <row r="11" spans="3:12" s="5" customFormat="1" ht="18">
      <c r="C11" s="73" t="s">
        <v>16</v>
      </c>
      <c r="D11" s="74" t="s">
        <v>17</v>
      </c>
      <c r="E11" s="75" t="s">
        <v>18</v>
      </c>
      <c r="F11" s="75" t="s">
        <v>9</v>
      </c>
      <c r="G11" s="75" t="s">
        <v>11</v>
      </c>
      <c r="H11" s="75" t="s">
        <v>13</v>
      </c>
      <c r="I11" s="75" t="s">
        <v>15</v>
      </c>
      <c r="J11" s="76" t="s">
        <v>19</v>
      </c>
      <c r="K11" s="73" t="s">
        <v>20</v>
      </c>
      <c r="L11" s="73" t="s">
        <v>21</v>
      </c>
    </row>
    <row r="12" spans="3:12" ht="19.5" customHeight="1">
      <c r="C12" s="43" t="s">
        <v>22</v>
      </c>
      <c r="D12" s="44" t="s">
        <v>23</v>
      </c>
      <c r="E12" s="45" t="s">
        <v>24</v>
      </c>
      <c r="F12" s="46">
        <v>2</v>
      </c>
      <c r="G12" s="46">
        <v>3</v>
      </c>
      <c r="H12" s="46">
        <v>4</v>
      </c>
      <c r="I12" s="46">
        <v>5</v>
      </c>
      <c r="J12" s="59" t="s">
        <v>25</v>
      </c>
      <c r="K12" s="66" t="s">
        <v>26</v>
      </c>
      <c r="L12" s="61"/>
    </row>
    <row r="13" spans="3:12" ht="19.5" customHeight="1">
      <c r="C13" s="72" t="s">
        <v>22</v>
      </c>
      <c r="D13" s="49" t="s">
        <v>23</v>
      </c>
      <c r="E13" s="50" t="s">
        <v>27</v>
      </c>
      <c r="F13" s="51">
        <v>2</v>
      </c>
      <c r="G13" s="51">
        <v>3</v>
      </c>
      <c r="H13" s="51">
        <v>4</v>
      </c>
      <c r="I13" s="51">
        <v>5</v>
      </c>
      <c r="J13" s="63" t="s">
        <v>25</v>
      </c>
      <c r="K13" s="67" t="s">
        <v>26</v>
      </c>
      <c r="L13" s="65"/>
    </row>
    <row r="14" spans="3:12" ht="19.5" customHeight="1">
      <c r="C14" s="39" t="s">
        <v>22</v>
      </c>
      <c r="D14" s="68"/>
      <c r="E14" s="69" t="s">
        <v>28</v>
      </c>
      <c r="F14" s="70">
        <v>2</v>
      </c>
      <c r="G14" s="70">
        <v>3</v>
      </c>
      <c r="H14" s="70">
        <v>4</v>
      </c>
      <c r="I14" s="70">
        <v>5</v>
      </c>
      <c r="J14" s="71" t="s">
        <v>25</v>
      </c>
      <c r="L14" s="15"/>
    </row>
    <row r="15" spans="3:12" ht="19.5" customHeight="1" thickBot="1">
      <c r="C15" s="43" t="s">
        <v>29</v>
      </c>
      <c r="D15" s="44" t="s">
        <v>23</v>
      </c>
      <c r="E15" s="45" t="s">
        <v>30</v>
      </c>
      <c r="F15" s="46">
        <v>2</v>
      </c>
      <c r="G15" s="46">
        <v>3</v>
      </c>
      <c r="H15" s="46">
        <v>4</v>
      </c>
      <c r="I15" s="46">
        <v>5</v>
      </c>
      <c r="J15" s="59" t="s">
        <v>25</v>
      </c>
      <c r="K15" s="66" t="s">
        <v>31</v>
      </c>
      <c r="L15" s="61"/>
    </row>
    <row r="16" spans="3:12" ht="19.5" customHeight="1">
      <c r="C16" s="47" t="s">
        <v>29</v>
      </c>
      <c r="D16" s="32" t="s">
        <v>23</v>
      </c>
      <c r="E16" s="7" t="s">
        <v>32</v>
      </c>
      <c r="F16" s="8">
        <v>2</v>
      </c>
      <c r="G16" s="8">
        <v>3</v>
      </c>
      <c r="H16" s="8">
        <v>4</v>
      </c>
      <c r="I16" s="8">
        <v>5</v>
      </c>
      <c r="J16" s="31" t="s">
        <v>25</v>
      </c>
      <c r="K16" s="4" t="s">
        <v>31</v>
      </c>
      <c r="L16" s="62"/>
    </row>
    <row r="17" spans="3:12" ht="19.5" customHeight="1">
      <c r="C17" s="48" t="s">
        <v>29</v>
      </c>
      <c r="D17" s="49" t="s">
        <v>23</v>
      </c>
      <c r="E17" s="50" t="s">
        <v>33</v>
      </c>
      <c r="F17" s="51">
        <v>2</v>
      </c>
      <c r="G17" s="51">
        <v>3</v>
      </c>
      <c r="H17" s="51">
        <v>4</v>
      </c>
      <c r="I17" s="51">
        <v>5</v>
      </c>
      <c r="J17" s="63" t="s">
        <v>25</v>
      </c>
      <c r="K17" s="67" t="s">
        <v>34</v>
      </c>
      <c r="L17" s="65"/>
    </row>
    <row r="18" spans="3:12" ht="19.5" customHeight="1">
      <c r="C18" s="6" t="s">
        <v>29</v>
      </c>
      <c r="D18" s="36"/>
      <c r="E18" s="37" t="s">
        <v>35</v>
      </c>
      <c r="F18" s="38">
        <v>1</v>
      </c>
      <c r="G18" s="38">
        <v>2</v>
      </c>
      <c r="H18" s="38">
        <v>3</v>
      </c>
      <c r="I18" s="38">
        <v>4</v>
      </c>
      <c r="J18" s="57" t="s">
        <v>25</v>
      </c>
      <c r="L18" s="17"/>
    </row>
    <row r="19" spans="3:12" ht="19.5" customHeight="1" thickBot="1">
      <c r="C19" s="11" t="s">
        <v>29</v>
      </c>
      <c r="D19" s="33" t="s">
        <v>36</v>
      </c>
      <c r="E19" s="7" t="s">
        <v>37</v>
      </c>
      <c r="F19" s="8">
        <v>1</v>
      </c>
      <c r="G19" s="8">
        <v>1</v>
      </c>
      <c r="H19" s="8">
        <v>2</v>
      </c>
      <c r="I19" s="8">
        <v>2</v>
      </c>
      <c r="J19" s="31" t="s">
        <v>25</v>
      </c>
      <c r="K19" s="4" t="s">
        <v>31</v>
      </c>
      <c r="L19" s="10"/>
    </row>
    <row r="20" spans="3:12" ht="19.5" customHeight="1" thickBot="1">
      <c r="C20" s="11" t="s">
        <v>29</v>
      </c>
      <c r="D20" s="33" t="s">
        <v>36</v>
      </c>
      <c r="E20" s="7" t="s">
        <v>38</v>
      </c>
      <c r="F20" s="8">
        <v>1</v>
      </c>
      <c r="G20" s="8">
        <v>1</v>
      </c>
      <c r="H20" s="8">
        <v>2</v>
      </c>
      <c r="I20" s="8">
        <v>2</v>
      </c>
      <c r="J20" s="31" t="s">
        <v>25</v>
      </c>
      <c r="K20" s="4" t="s">
        <v>31</v>
      </c>
      <c r="L20" s="10"/>
    </row>
    <row r="21" spans="3:12" ht="19.5" customHeight="1" thickBot="1">
      <c r="C21" s="11" t="s">
        <v>29</v>
      </c>
      <c r="D21" s="33" t="s">
        <v>36</v>
      </c>
      <c r="E21" s="7" t="s">
        <v>39</v>
      </c>
      <c r="F21" s="8">
        <v>1</v>
      </c>
      <c r="G21" s="8">
        <v>2</v>
      </c>
      <c r="H21" s="8">
        <v>2</v>
      </c>
      <c r="I21" s="8">
        <v>2</v>
      </c>
      <c r="J21" s="31" t="s">
        <v>25</v>
      </c>
      <c r="L21" s="10"/>
    </row>
    <row r="22" spans="3:12" ht="19.5" customHeight="1">
      <c r="C22" s="11" t="s">
        <v>22</v>
      </c>
      <c r="D22" s="33"/>
      <c r="E22" s="7" t="s">
        <v>40</v>
      </c>
      <c r="F22" s="8">
        <v>1</v>
      </c>
      <c r="G22" s="8">
        <v>2</v>
      </c>
      <c r="H22" s="8">
        <v>3</v>
      </c>
      <c r="I22" s="8">
        <v>4</v>
      </c>
      <c r="J22" s="31" t="s">
        <v>25</v>
      </c>
      <c r="L22" s="10"/>
    </row>
    <row r="23" spans="3:12" ht="19.5" customHeight="1" thickBot="1">
      <c r="C23" s="11" t="s">
        <v>41</v>
      </c>
      <c r="D23" s="33"/>
      <c r="E23" s="7" t="s">
        <v>42</v>
      </c>
      <c r="F23" s="8" t="s">
        <v>3</v>
      </c>
      <c r="G23" s="8" t="s">
        <v>3</v>
      </c>
      <c r="H23" s="8">
        <v>1</v>
      </c>
      <c r="I23" s="8">
        <v>2</v>
      </c>
      <c r="J23" s="31" t="s">
        <v>25</v>
      </c>
      <c r="L23" s="10"/>
    </row>
    <row r="24" spans="3:12" ht="19.5" customHeight="1">
      <c r="C24" s="54" t="s">
        <v>41</v>
      </c>
      <c r="D24" s="40" t="s">
        <v>36</v>
      </c>
      <c r="E24" s="41" t="s">
        <v>43</v>
      </c>
      <c r="F24" s="42" t="s">
        <v>3</v>
      </c>
      <c r="G24" s="42">
        <v>1</v>
      </c>
      <c r="H24" s="42">
        <v>1</v>
      </c>
      <c r="I24" s="42">
        <v>1</v>
      </c>
      <c r="J24" s="55" t="s">
        <v>25</v>
      </c>
      <c r="L24" s="16"/>
    </row>
    <row r="25" spans="3:12" ht="19.5" customHeight="1" thickBot="1">
      <c r="C25" s="43" t="s">
        <v>44</v>
      </c>
      <c r="D25" s="44" t="s">
        <v>23</v>
      </c>
      <c r="E25" s="45" t="s">
        <v>45</v>
      </c>
      <c r="F25" s="46">
        <v>2</v>
      </c>
      <c r="G25" s="46">
        <v>3</v>
      </c>
      <c r="H25" s="46">
        <v>4</v>
      </c>
      <c r="I25" s="46">
        <v>5</v>
      </c>
      <c r="J25" s="59" t="s">
        <v>25</v>
      </c>
      <c r="K25" s="66" t="s">
        <v>46</v>
      </c>
      <c r="L25" s="61"/>
    </row>
    <row r="26" spans="3:12" ht="19.5" customHeight="1">
      <c r="C26" s="47" t="s">
        <v>44</v>
      </c>
      <c r="D26" s="32" t="s">
        <v>23</v>
      </c>
      <c r="E26" s="7" t="s">
        <v>47</v>
      </c>
      <c r="F26" s="8">
        <v>3</v>
      </c>
      <c r="G26" s="8">
        <v>3</v>
      </c>
      <c r="H26" s="8">
        <v>4</v>
      </c>
      <c r="I26" s="8">
        <v>5</v>
      </c>
      <c r="J26" s="31" t="s">
        <v>25</v>
      </c>
      <c r="K26" s="4" t="s">
        <v>46</v>
      </c>
      <c r="L26" s="62"/>
    </row>
    <row r="27" spans="3:12" ht="19.5" customHeight="1">
      <c r="C27" s="48" t="s">
        <v>44</v>
      </c>
      <c r="D27" s="49" t="s">
        <v>23</v>
      </c>
      <c r="E27" s="50" t="s">
        <v>48</v>
      </c>
      <c r="F27" s="51">
        <v>3</v>
      </c>
      <c r="G27" s="51">
        <v>3</v>
      </c>
      <c r="H27" s="51">
        <v>4</v>
      </c>
      <c r="I27" s="51">
        <v>5</v>
      </c>
      <c r="J27" s="63" t="s">
        <v>25</v>
      </c>
      <c r="K27" s="67" t="s">
        <v>46</v>
      </c>
      <c r="L27" s="65"/>
    </row>
    <row r="28" spans="3:12" ht="19.5" customHeight="1">
      <c r="C28" s="6" t="s">
        <v>29</v>
      </c>
      <c r="D28" s="36"/>
      <c r="E28" s="37" t="s">
        <v>49</v>
      </c>
      <c r="F28" s="38">
        <v>1</v>
      </c>
      <c r="G28" s="38">
        <v>3</v>
      </c>
      <c r="H28" s="38">
        <v>4</v>
      </c>
      <c r="I28" s="38">
        <v>4</v>
      </c>
      <c r="J28" s="57" t="s">
        <v>50</v>
      </c>
      <c r="K28" s="17"/>
      <c r="L28" s="17"/>
    </row>
    <row r="29" spans="3:12" ht="19.5" customHeight="1">
      <c r="C29" s="11" t="s">
        <v>22</v>
      </c>
      <c r="D29" s="33"/>
      <c r="E29" s="7" t="s">
        <v>51</v>
      </c>
      <c r="F29" s="8">
        <v>1</v>
      </c>
      <c r="G29" s="8">
        <v>3</v>
      </c>
      <c r="H29" s="8">
        <v>4</v>
      </c>
      <c r="I29" s="8">
        <v>4</v>
      </c>
      <c r="J29" s="31" t="s">
        <v>50</v>
      </c>
      <c r="K29" s="10"/>
      <c r="L29" s="10"/>
    </row>
    <row r="30" spans="3:12" ht="19.5" customHeight="1" thickBot="1">
      <c r="C30" s="11" t="s">
        <v>29</v>
      </c>
      <c r="D30" s="33"/>
      <c r="E30" s="7" t="s">
        <v>52</v>
      </c>
      <c r="F30" s="8">
        <v>1</v>
      </c>
      <c r="G30" s="8">
        <v>2</v>
      </c>
      <c r="H30" s="8">
        <v>3</v>
      </c>
      <c r="I30" s="8">
        <v>4</v>
      </c>
      <c r="J30" s="31" t="s">
        <v>50</v>
      </c>
      <c r="K30" s="10"/>
      <c r="L30" s="10"/>
    </row>
    <row r="31" spans="3:12" ht="19.5" customHeight="1" thickBot="1">
      <c r="C31" s="11" t="s">
        <v>22</v>
      </c>
      <c r="D31" s="33"/>
      <c r="E31" s="7" t="s">
        <v>53</v>
      </c>
      <c r="F31" s="8">
        <v>2</v>
      </c>
      <c r="G31" s="8">
        <v>3</v>
      </c>
      <c r="H31" s="8">
        <v>4</v>
      </c>
      <c r="I31" s="8">
        <v>5</v>
      </c>
      <c r="J31" s="31" t="s">
        <v>50</v>
      </c>
      <c r="K31" s="10"/>
      <c r="L31" s="10"/>
    </row>
    <row r="32" spans="3:12" ht="19.5" customHeight="1" thickBot="1">
      <c r="C32" s="11" t="s">
        <v>22</v>
      </c>
      <c r="D32" s="33"/>
      <c r="E32" s="7" t="s">
        <v>54</v>
      </c>
      <c r="F32" s="8">
        <v>2</v>
      </c>
      <c r="G32" s="8">
        <v>3</v>
      </c>
      <c r="H32" s="8">
        <v>4</v>
      </c>
      <c r="I32" s="8">
        <v>5</v>
      </c>
      <c r="J32" s="31" t="s">
        <v>50</v>
      </c>
      <c r="K32" s="10"/>
      <c r="L32" s="10"/>
    </row>
    <row r="33" spans="3:12" ht="19.5" customHeight="1" thickBot="1">
      <c r="C33" s="11" t="s">
        <v>22</v>
      </c>
      <c r="D33" s="33"/>
      <c r="E33" s="7" t="s">
        <v>55</v>
      </c>
      <c r="F33" s="8" t="s">
        <v>3</v>
      </c>
      <c r="G33" s="8">
        <v>1</v>
      </c>
      <c r="H33" s="8">
        <v>3</v>
      </c>
      <c r="I33" s="8">
        <v>4</v>
      </c>
      <c r="J33" s="31" t="s">
        <v>50</v>
      </c>
      <c r="K33" s="10"/>
      <c r="L33" s="10"/>
    </row>
    <row r="34" spans="3:12" ht="19.5" customHeight="1" thickBot="1">
      <c r="C34" s="11" t="s">
        <v>29</v>
      </c>
      <c r="D34" s="33"/>
      <c r="E34" s="7" t="s">
        <v>56</v>
      </c>
      <c r="F34" s="8" t="s">
        <v>3</v>
      </c>
      <c r="G34" s="8">
        <v>1</v>
      </c>
      <c r="H34" s="8">
        <v>3</v>
      </c>
      <c r="I34" s="8">
        <v>5</v>
      </c>
      <c r="J34" s="31" t="s">
        <v>50</v>
      </c>
      <c r="K34" s="10"/>
      <c r="L34" s="10"/>
    </row>
    <row r="35" spans="3:12" ht="19.5" customHeight="1" thickBot="1">
      <c r="C35" s="11" t="s">
        <v>29</v>
      </c>
      <c r="D35" s="33"/>
      <c r="E35" s="7" t="s">
        <v>57</v>
      </c>
      <c r="F35" s="8" t="s">
        <v>3</v>
      </c>
      <c r="G35" s="8">
        <v>1</v>
      </c>
      <c r="H35" s="8">
        <v>2</v>
      </c>
      <c r="I35" s="8">
        <v>3</v>
      </c>
      <c r="J35" s="31" t="s">
        <v>50</v>
      </c>
      <c r="K35" s="10"/>
      <c r="L35" s="10"/>
    </row>
    <row r="36" spans="3:12" ht="19.5" customHeight="1" thickBot="1">
      <c r="C36" s="11" t="s">
        <v>29</v>
      </c>
      <c r="D36" s="33"/>
      <c r="E36" s="7" t="s">
        <v>58</v>
      </c>
      <c r="F36" s="8" t="s">
        <v>3</v>
      </c>
      <c r="G36" s="8">
        <v>1</v>
      </c>
      <c r="H36" s="8">
        <v>3</v>
      </c>
      <c r="I36" s="8">
        <v>3</v>
      </c>
      <c r="J36" s="31" t="s">
        <v>50</v>
      </c>
      <c r="K36" s="9" t="s">
        <v>59</v>
      </c>
      <c r="L36" s="10"/>
    </row>
    <row r="37" spans="3:12" ht="19.5" customHeight="1" thickBot="1">
      <c r="C37" s="11" t="s">
        <v>22</v>
      </c>
      <c r="D37" s="33"/>
      <c r="E37" s="7" t="s">
        <v>60</v>
      </c>
      <c r="F37" s="8" t="s">
        <v>3</v>
      </c>
      <c r="G37" s="8">
        <v>1</v>
      </c>
      <c r="H37" s="8">
        <v>3</v>
      </c>
      <c r="I37" s="8">
        <v>4</v>
      </c>
      <c r="J37" s="31" t="s">
        <v>50</v>
      </c>
      <c r="K37" s="10"/>
      <c r="L37" s="10"/>
    </row>
    <row r="38" spans="3:12" ht="19.5" customHeight="1" thickBot="1">
      <c r="C38" s="11" t="s">
        <v>22</v>
      </c>
      <c r="D38" s="33"/>
      <c r="E38" s="7" t="s">
        <v>61</v>
      </c>
      <c r="F38" s="8">
        <v>1</v>
      </c>
      <c r="G38" s="8">
        <v>2</v>
      </c>
      <c r="H38" s="8">
        <v>2</v>
      </c>
      <c r="I38" s="8">
        <v>3</v>
      </c>
      <c r="J38" s="31" t="s">
        <v>50</v>
      </c>
      <c r="K38" s="10"/>
      <c r="L38" s="10"/>
    </row>
    <row r="39" spans="3:12" ht="19.5" customHeight="1" thickBot="1">
      <c r="C39" s="11" t="s">
        <v>22</v>
      </c>
      <c r="D39" s="33"/>
      <c r="E39" s="7" t="s">
        <v>62</v>
      </c>
      <c r="F39" s="8" t="s">
        <v>3</v>
      </c>
      <c r="G39" s="8" t="s">
        <v>3</v>
      </c>
      <c r="H39" s="8">
        <v>2</v>
      </c>
      <c r="I39" s="8">
        <v>3</v>
      </c>
      <c r="J39" s="31" t="s">
        <v>50</v>
      </c>
      <c r="K39" s="10"/>
      <c r="L39" s="10"/>
    </row>
    <row r="40" spans="3:12" ht="19.5" customHeight="1" thickBot="1">
      <c r="C40" s="11" t="s">
        <v>22</v>
      </c>
      <c r="D40" s="33"/>
      <c r="E40" s="7" t="s">
        <v>63</v>
      </c>
      <c r="F40" s="8" t="s">
        <v>3</v>
      </c>
      <c r="G40" s="8">
        <v>1</v>
      </c>
      <c r="H40" s="8">
        <v>2</v>
      </c>
      <c r="I40" s="8">
        <v>3</v>
      </c>
      <c r="J40" s="31" t="s">
        <v>50</v>
      </c>
      <c r="K40" s="10" t="s">
        <v>64</v>
      </c>
      <c r="L40" s="10"/>
    </row>
    <row r="41" spans="3:12" ht="19.5" customHeight="1" thickBot="1">
      <c r="C41" s="11" t="s">
        <v>22</v>
      </c>
      <c r="D41" s="33"/>
      <c r="E41" s="7" t="s">
        <v>65</v>
      </c>
      <c r="F41" s="8" t="s">
        <v>3</v>
      </c>
      <c r="G41" s="8">
        <v>1</v>
      </c>
      <c r="H41" s="8">
        <v>2</v>
      </c>
      <c r="I41" s="8">
        <v>4</v>
      </c>
      <c r="J41" s="31" t="s">
        <v>50</v>
      </c>
      <c r="K41" s="10"/>
      <c r="L41" s="10"/>
    </row>
    <row r="42" spans="3:12" ht="19.5" customHeight="1" thickBot="1">
      <c r="C42" s="11" t="s">
        <v>22</v>
      </c>
      <c r="D42" s="33"/>
      <c r="E42" s="7" t="s">
        <v>66</v>
      </c>
      <c r="F42" s="8" t="s">
        <v>3</v>
      </c>
      <c r="G42" s="8">
        <v>1</v>
      </c>
      <c r="H42" s="8">
        <v>2</v>
      </c>
      <c r="I42" s="8">
        <v>3</v>
      </c>
      <c r="J42" s="31" t="s">
        <v>50</v>
      </c>
      <c r="K42" s="10"/>
      <c r="L42" s="10"/>
    </row>
    <row r="43" spans="3:12" ht="19.5" customHeight="1" thickBot="1">
      <c r="C43" s="11" t="s">
        <v>22</v>
      </c>
      <c r="D43" s="33"/>
      <c r="E43" s="7" t="s">
        <v>67</v>
      </c>
      <c r="F43" s="8">
        <v>1</v>
      </c>
      <c r="G43" s="8">
        <v>2</v>
      </c>
      <c r="H43" s="8">
        <v>3</v>
      </c>
      <c r="I43" s="8">
        <v>4</v>
      </c>
      <c r="J43" s="31" t="s">
        <v>50</v>
      </c>
      <c r="K43" s="12" t="s">
        <v>68</v>
      </c>
      <c r="L43" s="10"/>
    </row>
    <row r="44" spans="3:12" ht="19.5" customHeight="1">
      <c r="C44" s="54" t="s">
        <v>29</v>
      </c>
      <c r="D44" s="40"/>
      <c r="E44" s="41" t="s">
        <v>69</v>
      </c>
      <c r="F44" s="42" t="s">
        <v>3</v>
      </c>
      <c r="G44" s="42">
        <v>1</v>
      </c>
      <c r="H44" s="42">
        <v>3</v>
      </c>
      <c r="I44" s="42">
        <v>3</v>
      </c>
      <c r="J44" s="55" t="s">
        <v>50</v>
      </c>
      <c r="K44" s="56"/>
      <c r="L44" s="16"/>
    </row>
    <row r="45" spans="3:12" ht="19.5" customHeight="1">
      <c r="C45" s="43" t="s">
        <v>22</v>
      </c>
      <c r="D45" s="44" t="s">
        <v>23</v>
      </c>
      <c r="E45" s="45" t="s">
        <v>70</v>
      </c>
      <c r="F45" s="46">
        <v>1</v>
      </c>
      <c r="G45" s="46">
        <v>2</v>
      </c>
      <c r="H45" s="46">
        <v>3</v>
      </c>
      <c r="I45" s="46">
        <v>4</v>
      </c>
      <c r="J45" s="59" t="s">
        <v>50</v>
      </c>
      <c r="K45" s="60" t="s">
        <v>71</v>
      </c>
      <c r="L45" s="61" t="s">
        <v>72</v>
      </c>
    </row>
    <row r="46" spans="3:12" ht="19.5" customHeight="1" thickBot="1">
      <c r="C46" s="47" t="s">
        <v>22</v>
      </c>
      <c r="D46" s="32" t="s">
        <v>23</v>
      </c>
      <c r="E46" s="7" t="s">
        <v>73</v>
      </c>
      <c r="F46" s="8">
        <v>1</v>
      </c>
      <c r="G46" s="8">
        <v>2</v>
      </c>
      <c r="H46" s="8">
        <v>3</v>
      </c>
      <c r="I46" s="8">
        <v>3</v>
      </c>
      <c r="J46" s="31" t="s">
        <v>50</v>
      </c>
      <c r="K46" s="9" t="s">
        <v>74</v>
      </c>
      <c r="L46" s="62"/>
    </row>
    <row r="47" spans="3:12" ht="19.5" customHeight="1">
      <c r="C47" s="48" t="s">
        <v>22</v>
      </c>
      <c r="D47" s="49" t="s">
        <v>23</v>
      </c>
      <c r="E47" s="77" t="s">
        <v>75</v>
      </c>
      <c r="F47" s="51">
        <v>1</v>
      </c>
      <c r="G47" s="51">
        <v>2</v>
      </c>
      <c r="H47" s="51">
        <v>3</v>
      </c>
      <c r="I47" s="51">
        <v>3</v>
      </c>
      <c r="J47" s="63" t="s">
        <v>50</v>
      </c>
      <c r="K47" s="64" t="s">
        <v>76</v>
      </c>
      <c r="L47" s="65"/>
    </row>
    <row r="48" spans="3:12" ht="19.5" customHeight="1" thickBot="1">
      <c r="C48" s="6" t="s">
        <v>29</v>
      </c>
      <c r="D48" s="36"/>
      <c r="E48" s="37" t="s">
        <v>77</v>
      </c>
      <c r="F48" s="38" t="s">
        <v>3</v>
      </c>
      <c r="G48" s="38">
        <v>1</v>
      </c>
      <c r="H48" s="38">
        <v>2</v>
      </c>
      <c r="I48" s="38">
        <v>3</v>
      </c>
      <c r="J48" s="57" t="s">
        <v>50</v>
      </c>
      <c r="K48" s="58" t="s">
        <v>78</v>
      </c>
      <c r="L48" s="17"/>
    </row>
    <row r="49" spans="3:12" ht="19.5" customHeight="1" thickBot="1">
      <c r="C49" s="11" t="s">
        <v>22</v>
      </c>
      <c r="D49" s="33"/>
      <c r="E49" s="13" t="s">
        <v>79</v>
      </c>
      <c r="F49" s="8">
        <v>2</v>
      </c>
      <c r="G49" s="8">
        <v>3</v>
      </c>
      <c r="H49" s="8">
        <v>4</v>
      </c>
      <c r="I49" s="8">
        <v>4</v>
      </c>
      <c r="J49" s="31" t="s">
        <v>80</v>
      </c>
      <c r="K49" s="14" t="s">
        <v>81</v>
      </c>
      <c r="L49" s="10"/>
    </row>
    <row r="50" spans="3:12" ht="19.5" customHeight="1" thickBot="1">
      <c r="C50" s="11" t="s">
        <v>22</v>
      </c>
      <c r="D50" s="33"/>
      <c r="E50" s="7" t="s">
        <v>82</v>
      </c>
      <c r="F50" s="8">
        <v>2</v>
      </c>
      <c r="G50" s="8">
        <v>3</v>
      </c>
      <c r="H50" s="8">
        <v>4</v>
      </c>
      <c r="I50" s="8">
        <v>4</v>
      </c>
      <c r="J50" s="31" t="s">
        <v>80</v>
      </c>
      <c r="L50" s="15"/>
    </row>
    <row r="51" spans="3:12" ht="19.5" customHeight="1" thickBot="1">
      <c r="C51" s="11" t="s">
        <v>22</v>
      </c>
      <c r="D51" s="33"/>
      <c r="E51" s="7" t="s">
        <v>83</v>
      </c>
      <c r="F51" s="8">
        <v>2</v>
      </c>
      <c r="G51" s="8">
        <v>3</v>
      </c>
      <c r="H51" s="8">
        <v>4</v>
      </c>
      <c r="I51" s="8">
        <v>4</v>
      </c>
      <c r="J51" s="31" t="s">
        <v>80</v>
      </c>
      <c r="K51" s="4" t="s">
        <v>84</v>
      </c>
      <c r="L51" s="16"/>
    </row>
    <row r="52" spans="3:12" ht="19.5" customHeight="1" thickBot="1">
      <c r="C52" s="11" t="s">
        <v>22</v>
      </c>
      <c r="D52" s="33"/>
      <c r="E52" s="7" t="s">
        <v>85</v>
      </c>
      <c r="F52" s="8">
        <v>2</v>
      </c>
      <c r="G52" s="8">
        <v>3</v>
      </c>
      <c r="H52" s="8">
        <v>4</v>
      </c>
      <c r="I52" s="8">
        <v>4</v>
      </c>
      <c r="J52" s="31" t="s">
        <v>80</v>
      </c>
      <c r="K52" s="4" t="s">
        <v>86</v>
      </c>
      <c r="L52" s="15"/>
    </row>
    <row r="53" spans="3:12" ht="19.5" customHeight="1" thickBot="1">
      <c r="C53" s="11" t="s">
        <v>22</v>
      </c>
      <c r="D53" s="33"/>
      <c r="E53" s="7" t="s">
        <v>87</v>
      </c>
      <c r="F53" s="8">
        <v>1</v>
      </c>
      <c r="G53" s="8">
        <v>2</v>
      </c>
      <c r="H53" s="8">
        <v>3</v>
      </c>
      <c r="I53" s="8">
        <v>4</v>
      </c>
      <c r="J53" s="31" t="s">
        <v>80</v>
      </c>
      <c r="L53" s="17"/>
    </row>
    <row r="54" spans="3:12" ht="19.5" customHeight="1" thickBot="1">
      <c r="C54" s="11" t="s">
        <v>22</v>
      </c>
      <c r="D54" s="33"/>
      <c r="E54" s="7" t="s">
        <v>88</v>
      </c>
      <c r="F54" s="8">
        <v>2</v>
      </c>
      <c r="G54" s="8">
        <v>3</v>
      </c>
      <c r="H54" s="8">
        <v>4</v>
      </c>
      <c r="I54" s="8">
        <v>4</v>
      </c>
      <c r="J54" s="31" t="s">
        <v>80</v>
      </c>
      <c r="K54" s="4" t="s">
        <v>89</v>
      </c>
      <c r="L54" s="15"/>
    </row>
    <row r="55" spans="3:12" ht="19.5" customHeight="1" thickBot="1">
      <c r="C55" s="11" t="s">
        <v>22</v>
      </c>
      <c r="D55" s="33"/>
      <c r="E55" s="7" t="s">
        <v>90</v>
      </c>
      <c r="F55" s="8">
        <v>2</v>
      </c>
      <c r="G55" s="8">
        <v>3</v>
      </c>
      <c r="H55" s="8">
        <v>4</v>
      </c>
      <c r="I55" s="8">
        <v>4</v>
      </c>
      <c r="J55" s="31" t="s">
        <v>80</v>
      </c>
      <c r="L55" s="15"/>
    </row>
    <row r="56" spans="3:12" ht="19.5" customHeight="1" thickBot="1">
      <c r="C56" s="11" t="s">
        <v>22</v>
      </c>
      <c r="D56" s="33"/>
      <c r="E56" s="7" t="s">
        <v>91</v>
      </c>
      <c r="F56" s="8">
        <v>2</v>
      </c>
      <c r="G56" s="8">
        <v>3</v>
      </c>
      <c r="H56" s="8">
        <v>4</v>
      </c>
      <c r="I56" s="8">
        <v>4</v>
      </c>
      <c r="J56" s="31" t="s">
        <v>80</v>
      </c>
      <c r="L56" s="15"/>
    </row>
    <row r="57" spans="3:12" ht="19.5" customHeight="1" thickBot="1">
      <c r="C57" s="11" t="s">
        <v>22</v>
      </c>
      <c r="D57" s="33"/>
      <c r="E57" s="7" t="s">
        <v>92</v>
      </c>
      <c r="F57" s="8">
        <v>2</v>
      </c>
      <c r="G57" s="8">
        <v>3</v>
      </c>
      <c r="H57" s="8">
        <v>4</v>
      </c>
      <c r="I57" s="8">
        <v>4</v>
      </c>
      <c r="J57" s="31" t="s">
        <v>80</v>
      </c>
      <c r="L57" s="15"/>
    </row>
    <row r="58" spans="3:12" ht="19.5" customHeight="1" thickBot="1">
      <c r="C58" s="11" t="s">
        <v>22</v>
      </c>
      <c r="D58" s="33"/>
      <c r="E58" s="7" t="s">
        <v>93</v>
      </c>
      <c r="F58" s="8">
        <v>1</v>
      </c>
      <c r="G58" s="8">
        <v>2</v>
      </c>
      <c r="H58" s="8">
        <v>3</v>
      </c>
      <c r="I58" s="8">
        <v>3</v>
      </c>
      <c r="J58" s="31" t="s">
        <v>80</v>
      </c>
      <c r="L58" s="15"/>
    </row>
    <row r="59" spans="3:12" ht="19.5" customHeight="1" thickBot="1">
      <c r="C59" s="11" t="s">
        <v>22</v>
      </c>
      <c r="D59" s="33"/>
      <c r="E59" s="7" t="s">
        <v>94</v>
      </c>
      <c r="F59" s="8">
        <v>2</v>
      </c>
      <c r="G59" s="8">
        <v>3</v>
      </c>
      <c r="H59" s="8">
        <v>4</v>
      </c>
      <c r="I59" s="8">
        <v>5</v>
      </c>
      <c r="J59" s="31" t="s">
        <v>95</v>
      </c>
      <c r="K59" s="4" t="s">
        <v>96</v>
      </c>
      <c r="L59" s="10"/>
    </row>
    <row r="60" spans="3:12" ht="19.5" customHeight="1" thickBot="1">
      <c r="C60" s="11" t="s">
        <v>22</v>
      </c>
      <c r="D60" s="33"/>
      <c r="E60" s="7" t="s">
        <v>97</v>
      </c>
      <c r="F60" s="8">
        <v>1</v>
      </c>
      <c r="G60" s="8">
        <v>2</v>
      </c>
      <c r="H60" s="8">
        <v>3</v>
      </c>
      <c r="I60" s="8">
        <v>4</v>
      </c>
      <c r="J60" s="31" t="s">
        <v>95</v>
      </c>
      <c r="K60" s="4" t="s">
        <v>98</v>
      </c>
      <c r="L60" s="10"/>
    </row>
    <row r="61" spans="3:12" ht="19.5" customHeight="1" thickBot="1">
      <c r="C61" s="11" t="s">
        <v>22</v>
      </c>
      <c r="D61" s="33"/>
      <c r="E61" s="7" t="s">
        <v>99</v>
      </c>
      <c r="F61" s="8">
        <v>2</v>
      </c>
      <c r="G61" s="8">
        <v>3</v>
      </c>
      <c r="H61" s="8">
        <v>4</v>
      </c>
      <c r="I61" s="8">
        <v>5</v>
      </c>
      <c r="J61" s="31" t="s">
        <v>95</v>
      </c>
      <c r="K61" s="4" t="s">
        <v>100</v>
      </c>
      <c r="L61" s="10"/>
    </row>
    <row r="62" spans="3:12" ht="19.5" customHeight="1" thickBot="1">
      <c r="C62" s="11" t="s">
        <v>22</v>
      </c>
      <c r="D62" s="33"/>
      <c r="E62" s="7" t="s">
        <v>101</v>
      </c>
      <c r="F62" s="8">
        <v>2</v>
      </c>
      <c r="G62" s="8">
        <v>3</v>
      </c>
      <c r="H62" s="8">
        <v>4</v>
      </c>
      <c r="I62" s="8">
        <v>5</v>
      </c>
      <c r="J62" s="31" t="s">
        <v>95</v>
      </c>
      <c r="K62" s="4" t="s">
        <v>102</v>
      </c>
      <c r="L62" s="10"/>
    </row>
    <row r="63" spans="3:12" ht="19.5" customHeight="1" thickBot="1">
      <c r="C63" s="11" t="s">
        <v>22</v>
      </c>
      <c r="D63" s="33"/>
      <c r="E63" s="7" t="s">
        <v>103</v>
      </c>
      <c r="F63" s="8">
        <v>1</v>
      </c>
      <c r="G63" s="8">
        <v>2</v>
      </c>
      <c r="H63" s="8">
        <v>3</v>
      </c>
      <c r="I63" s="8">
        <v>4</v>
      </c>
      <c r="J63" s="31" t="s">
        <v>95</v>
      </c>
      <c r="K63" s="10"/>
      <c r="L63" s="10"/>
    </row>
    <row r="64" spans="3:12" ht="19.5" customHeight="1" thickBot="1">
      <c r="C64" s="11" t="s">
        <v>22</v>
      </c>
      <c r="D64" s="33"/>
      <c r="E64" s="7" t="s">
        <v>104</v>
      </c>
      <c r="F64" s="8">
        <v>2</v>
      </c>
      <c r="G64" s="8">
        <v>3</v>
      </c>
      <c r="H64" s="8">
        <v>4</v>
      </c>
      <c r="I64" s="8">
        <v>5</v>
      </c>
      <c r="J64" s="31" t="s">
        <v>95</v>
      </c>
      <c r="K64" s="4" t="s">
        <v>105</v>
      </c>
      <c r="L64" s="10"/>
    </row>
    <row r="65" spans="3:12" ht="19.5" customHeight="1" thickBot="1">
      <c r="C65" s="11" t="s">
        <v>22</v>
      </c>
      <c r="D65" s="33"/>
      <c r="E65" s="7" t="s">
        <v>106</v>
      </c>
      <c r="F65" s="8">
        <v>2</v>
      </c>
      <c r="G65" s="8">
        <v>3</v>
      </c>
      <c r="H65" s="8">
        <v>4</v>
      </c>
      <c r="I65" s="8">
        <v>5</v>
      </c>
      <c r="J65" s="31" t="s">
        <v>107</v>
      </c>
      <c r="K65" s="4" t="s">
        <v>108</v>
      </c>
      <c r="L65" s="10"/>
    </row>
    <row r="66" spans="3:12" ht="19.5" customHeight="1" thickBot="1">
      <c r="C66" s="11" t="s">
        <v>22</v>
      </c>
      <c r="D66" s="33"/>
      <c r="E66" s="7" t="s">
        <v>109</v>
      </c>
      <c r="F66" s="8" t="s">
        <v>3</v>
      </c>
      <c r="G66" s="8">
        <v>1</v>
      </c>
      <c r="H66" s="8">
        <v>2</v>
      </c>
      <c r="I66" s="8">
        <v>3</v>
      </c>
      <c r="J66" s="31" t="s">
        <v>107</v>
      </c>
      <c r="K66" s="4" t="s">
        <v>110</v>
      </c>
      <c r="L66" s="10"/>
    </row>
    <row r="67" spans="3:12" ht="19.5" customHeight="1" thickBot="1">
      <c r="C67" s="11" t="s">
        <v>22</v>
      </c>
      <c r="D67" s="33"/>
      <c r="E67" s="7" t="s">
        <v>111</v>
      </c>
      <c r="F67" s="8">
        <v>3</v>
      </c>
      <c r="G67" s="8">
        <v>4</v>
      </c>
      <c r="H67" s="8">
        <v>4</v>
      </c>
      <c r="I67" s="8">
        <v>4</v>
      </c>
      <c r="J67" s="31" t="s">
        <v>107</v>
      </c>
      <c r="K67" s="4" t="s">
        <v>112</v>
      </c>
      <c r="L67" s="10"/>
    </row>
    <row r="68" spans="3:12" ht="19.5" customHeight="1" thickBot="1">
      <c r="C68" s="11" t="s">
        <v>22</v>
      </c>
      <c r="D68" s="32"/>
      <c r="E68" s="7" t="s">
        <v>113</v>
      </c>
      <c r="F68" s="8">
        <v>1</v>
      </c>
      <c r="G68" s="8">
        <v>2</v>
      </c>
      <c r="H68" s="8">
        <v>3</v>
      </c>
      <c r="I68" s="8">
        <v>4</v>
      </c>
      <c r="J68" s="31" t="s">
        <v>107</v>
      </c>
      <c r="K68" s="4" t="s">
        <v>114</v>
      </c>
      <c r="L68" s="10"/>
    </row>
    <row r="69" spans="3:12" ht="19.5" customHeight="1" thickBot="1">
      <c r="C69" s="11" t="s">
        <v>22</v>
      </c>
      <c r="D69" s="33"/>
      <c r="E69" s="7" t="s">
        <v>115</v>
      </c>
      <c r="F69" s="8">
        <v>1</v>
      </c>
      <c r="G69" s="8">
        <v>1</v>
      </c>
      <c r="H69" s="8">
        <v>2</v>
      </c>
      <c r="I69" s="8">
        <v>3</v>
      </c>
      <c r="J69" s="31" t="s">
        <v>107</v>
      </c>
      <c r="L69" s="10"/>
    </row>
    <row r="70" spans="3:12" ht="19.5" customHeight="1" thickBot="1">
      <c r="C70" s="11" t="s">
        <v>22</v>
      </c>
      <c r="D70" s="33"/>
      <c r="E70" s="7" t="s">
        <v>116</v>
      </c>
      <c r="F70" s="8" t="s">
        <v>3</v>
      </c>
      <c r="G70" s="8">
        <v>1</v>
      </c>
      <c r="H70" s="8">
        <v>2</v>
      </c>
      <c r="I70" s="8">
        <v>3</v>
      </c>
      <c r="J70" s="31" t="s">
        <v>107</v>
      </c>
      <c r="L70" s="10"/>
    </row>
    <row r="71" spans="3:12" ht="19.5" customHeight="1" thickBot="1">
      <c r="C71" s="11" t="s">
        <v>22</v>
      </c>
      <c r="D71" s="33"/>
      <c r="E71" s="7" t="s">
        <v>117</v>
      </c>
      <c r="F71" s="8">
        <v>2</v>
      </c>
      <c r="G71" s="8">
        <v>3</v>
      </c>
      <c r="H71" s="8">
        <v>3</v>
      </c>
      <c r="I71" s="8">
        <v>4</v>
      </c>
      <c r="J71" s="31" t="s">
        <v>118</v>
      </c>
      <c r="L71" s="10"/>
    </row>
    <row r="72" spans="3:12" ht="19.5" customHeight="1" thickBot="1">
      <c r="C72" s="11" t="s">
        <v>22</v>
      </c>
      <c r="D72" s="33"/>
      <c r="E72" s="7" t="s">
        <v>119</v>
      </c>
      <c r="F72" s="8">
        <v>2</v>
      </c>
      <c r="G72" s="8">
        <v>3</v>
      </c>
      <c r="H72" s="8">
        <v>3</v>
      </c>
      <c r="I72" s="8">
        <v>4</v>
      </c>
      <c r="J72" s="31" t="s">
        <v>118</v>
      </c>
      <c r="L72" s="14"/>
    </row>
    <row r="73" spans="3:12" ht="19.5" customHeight="1" thickBot="1">
      <c r="C73" s="11" t="s">
        <v>22</v>
      </c>
      <c r="D73" s="33"/>
      <c r="E73" s="7" t="s">
        <v>120</v>
      </c>
      <c r="F73" s="8">
        <v>1</v>
      </c>
      <c r="G73" s="8">
        <v>2</v>
      </c>
      <c r="H73" s="8">
        <v>3</v>
      </c>
      <c r="I73" s="8">
        <v>4</v>
      </c>
      <c r="J73" s="31" t="s">
        <v>118</v>
      </c>
    </row>
    <row r="74" spans="3:12" ht="19.5" customHeight="1" thickBot="1">
      <c r="C74" s="11" t="s">
        <v>22</v>
      </c>
      <c r="D74" s="33"/>
      <c r="E74" s="7" t="s">
        <v>121</v>
      </c>
      <c r="F74" s="8">
        <v>1</v>
      </c>
      <c r="G74" s="8">
        <v>2</v>
      </c>
      <c r="H74" s="8">
        <v>3</v>
      </c>
      <c r="I74" s="8">
        <v>4</v>
      </c>
      <c r="J74" s="31" t="s">
        <v>118</v>
      </c>
      <c r="L74" s="10"/>
    </row>
    <row r="75" spans="3:12" ht="19.5" customHeight="1">
      <c r="C75" s="11" t="s">
        <v>22</v>
      </c>
      <c r="D75" s="33"/>
      <c r="E75" s="7" t="s">
        <v>122</v>
      </c>
      <c r="F75" s="8">
        <v>2</v>
      </c>
      <c r="G75" s="8">
        <v>3</v>
      </c>
      <c r="H75" s="8">
        <v>4</v>
      </c>
      <c r="I75" s="8">
        <v>5</v>
      </c>
      <c r="J75" s="31" t="s">
        <v>118</v>
      </c>
      <c r="L75" s="10"/>
    </row>
    <row r="76" spans="3:12" ht="19.5" customHeight="1" thickBot="1">
      <c r="C76" s="11" t="s">
        <v>22</v>
      </c>
      <c r="D76" s="33"/>
      <c r="E76" s="7" t="s">
        <v>123</v>
      </c>
      <c r="F76" s="8">
        <v>1</v>
      </c>
      <c r="G76" s="8">
        <v>2</v>
      </c>
      <c r="H76" s="8">
        <v>3</v>
      </c>
      <c r="I76" s="8">
        <v>4</v>
      </c>
      <c r="J76" s="31" t="s">
        <v>118</v>
      </c>
      <c r="L76" s="10"/>
    </row>
    <row r="77" spans="3:12" ht="19.5" customHeight="1" thickBot="1">
      <c r="C77" s="11" t="s">
        <v>22</v>
      </c>
      <c r="D77" s="33"/>
      <c r="E77" s="7" t="s">
        <v>124</v>
      </c>
      <c r="F77" s="8">
        <v>1</v>
      </c>
      <c r="G77" s="8">
        <v>2</v>
      </c>
      <c r="H77" s="8">
        <v>3</v>
      </c>
      <c r="I77" s="8">
        <v>4</v>
      </c>
      <c r="J77" s="31" t="s">
        <v>118</v>
      </c>
      <c r="L77" s="10"/>
    </row>
    <row r="78" spans="3:12" ht="19.5" customHeight="1" thickBot="1">
      <c r="C78" s="11" t="s">
        <v>22</v>
      </c>
      <c r="D78" s="33"/>
      <c r="E78" s="7" t="s">
        <v>125</v>
      </c>
      <c r="F78" s="8">
        <v>1</v>
      </c>
      <c r="G78" s="8">
        <v>2</v>
      </c>
      <c r="H78" s="8">
        <v>3</v>
      </c>
      <c r="I78" s="8">
        <v>4</v>
      </c>
      <c r="J78" s="31" t="s">
        <v>118</v>
      </c>
      <c r="L78" s="10"/>
    </row>
    <row r="79" spans="3:12" ht="19.5" customHeight="1" thickBot="1">
      <c r="C79" s="11" t="s">
        <v>22</v>
      </c>
      <c r="D79" s="33"/>
      <c r="E79" s="7" t="s">
        <v>126</v>
      </c>
      <c r="F79" s="8">
        <v>3</v>
      </c>
      <c r="G79" s="8">
        <v>3</v>
      </c>
      <c r="H79" s="8">
        <v>4</v>
      </c>
      <c r="I79" s="8">
        <v>4</v>
      </c>
      <c r="J79" s="31" t="s">
        <v>127</v>
      </c>
      <c r="K79" s="10" t="s">
        <v>128</v>
      </c>
      <c r="L79" s="10"/>
    </row>
    <row r="80" spans="3:12" ht="19.5" customHeight="1" thickBot="1">
      <c r="C80" s="11" t="s">
        <v>22</v>
      </c>
      <c r="D80" s="33"/>
      <c r="E80" s="7" t="s">
        <v>129</v>
      </c>
      <c r="F80" s="8">
        <v>2</v>
      </c>
      <c r="G80" s="8">
        <v>3</v>
      </c>
      <c r="H80" s="8">
        <v>4</v>
      </c>
      <c r="I80" s="8">
        <v>4</v>
      </c>
      <c r="J80" s="31" t="s">
        <v>127</v>
      </c>
      <c r="K80" s="10"/>
      <c r="L80" s="10"/>
    </row>
    <row r="81" spans="3:12" ht="19.5" customHeight="1" thickBot="1">
      <c r="C81" s="11" t="s">
        <v>22</v>
      </c>
      <c r="D81" s="33"/>
      <c r="E81" s="7" t="s">
        <v>130</v>
      </c>
      <c r="F81" s="8">
        <v>1</v>
      </c>
      <c r="G81" s="8">
        <v>2</v>
      </c>
      <c r="H81" s="8">
        <v>3</v>
      </c>
      <c r="I81" s="8">
        <v>4</v>
      </c>
      <c r="J81" s="31" t="s">
        <v>127</v>
      </c>
      <c r="K81" s="10"/>
      <c r="L81" s="10"/>
    </row>
    <row r="82" spans="3:12" ht="19.5" customHeight="1" thickBot="1">
      <c r="C82" s="11" t="s">
        <v>22</v>
      </c>
      <c r="D82" s="33"/>
      <c r="E82" s="7" t="s">
        <v>131</v>
      </c>
      <c r="F82" s="8">
        <v>2</v>
      </c>
      <c r="G82" s="8">
        <v>3</v>
      </c>
      <c r="H82" s="8">
        <v>4</v>
      </c>
      <c r="I82" s="8">
        <v>5</v>
      </c>
      <c r="J82" s="31" t="s">
        <v>127</v>
      </c>
      <c r="K82" s="10"/>
      <c r="L82" s="10"/>
    </row>
    <row r="83" spans="3:12" ht="19.5" customHeight="1" thickBot="1">
      <c r="C83" s="11" t="s">
        <v>22</v>
      </c>
      <c r="D83" s="33"/>
      <c r="E83" s="7" t="s">
        <v>132</v>
      </c>
      <c r="F83" s="8">
        <v>2</v>
      </c>
      <c r="G83" s="8">
        <v>3</v>
      </c>
      <c r="H83" s="8">
        <v>4</v>
      </c>
      <c r="I83" s="8">
        <v>5</v>
      </c>
      <c r="J83" s="31" t="s">
        <v>127</v>
      </c>
      <c r="K83" s="10"/>
      <c r="L83" s="10"/>
    </row>
    <row r="84" spans="3:12" ht="19.5" customHeight="1" thickBot="1">
      <c r="C84" s="11" t="s">
        <v>22</v>
      </c>
      <c r="D84" s="33"/>
      <c r="E84" s="7" t="s">
        <v>133</v>
      </c>
      <c r="F84" s="8">
        <v>2</v>
      </c>
      <c r="G84" s="8">
        <v>3</v>
      </c>
      <c r="H84" s="8">
        <v>4</v>
      </c>
      <c r="I84" s="8">
        <v>5</v>
      </c>
      <c r="J84" s="31" t="s">
        <v>127</v>
      </c>
      <c r="K84" s="10"/>
      <c r="L84" s="10"/>
    </row>
    <row r="85" spans="3:12" ht="19.5" customHeight="1" thickBot="1">
      <c r="C85" s="11" t="s">
        <v>22</v>
      </c>
      <c r="D85" s="33"/>
      <c r="E85" s="7" t="s">
        <v>134</v>
      </c>
      <c r="F85" s="8">
        <v>3</v>
      </c>
      <c r="G85" s="8">
        <v>3</v>
      </c>
      <c r="H85" s="8">
        <v>4</v>
      </c>
      <c r="I85" s="8">
        <v>4</v>
      </c>
      <c r="J85" s="31" t="s">
        <v>127</v>
      </c>
      <c r="K85" s="12" t="s">
        <v>135</v>
      </c>
      <c r="L85" s="10"/>
    </row>
    <row r="86" spans="3:12" ht="19.5" customHeight="1" thickBot="1">
      <c r="C86" s="11" t="s">
        <v>22</v>
      </c>
      <c r="D86" s="33"/>
      <c r="E86" s="7" t="s">
        <v>136</v>
      </c>
      <c r="F86" s="8" t="s">
        <v>3</v>
      </c>
      <c r="G86" s="8">
        <v>1</v>
      </c>
      <c r="H86" s="8">
        <v>3</v>
      </c>
      <c r="I86" s="8">
        <v>4</v>
      </c>
      <c r="J86" s="31" t="s">
        <v>127</v>
      </c>
      <c r="K86" s="10"/>
      <c r="L86" s="10"/>
    </row>
    <row r="87" spans="3:12" ht="19.5" customHeight="1" thickBot="1">
      <c r="C87" s="11" t="s">
        <v>22</v>
      </c>
      <c r="D87" s="33"/>
      <c r="E87" s="7" t="s">
        <v>137</v>
      </c>
      <c r="F87" s="8">
        <v>2</v>
      </c>
      <c r="G87" s="8">
        <v>3</v>
      </c>
      <c r="H87" s="8">
        <v>4</v>
      </c>
      <c r="I87" s="8">
        <v>4</v>
      </c>
      <c r="J87" s="31" t="s">
        <v>127</v>
      </c>
      <c r="K87" s="10"/>
      <c r="L87" s="10"/>
    </row>
    <row r="88" spans="3:12" ht="19.5" customHeight="1" thickBot="1">
      <c r="C88" s="11" t="s">
        <v>22</v>
      </c>
      <c r="D88" s="33"/>
      <c r="E88" s="7" t="s">
        <v>138</v>
      </c>
      <c r="F88" s="8">
        <v>2</v>
      </c>
      <c r="G88" s="8">
        <v>3</v>
      </c>
      <c r="H88" s="8">
        <v>4</v>
      </c>
      <c r="I88" s="8">
        <v>4</v>
      </c>
      <c r="J88" s="31" t="s">
        <v>127</v>
      </c>
      <c r="K88" s="10"/>
      <c r="L88" s="10"/>
    </row>
    <row r="89" spans="3:12" ht="19.5" customHeight="1" thickBot="1">
      <c r="C89" s="11" t="s">
        <v>22</v>
      </c>
      <c r="D89" s="33"/>
      <c r="E89" s="7" t="s">
        <v>139</v>
      </c>
      <c r="F89" s="8">
        <v>2</v>
      </c>
      <c r="G89" s="8">
        <v>3</v>
      </c>
      <c r="H89" s="8">
        <v>4</v>
      </c>
      <c r="I89" s="8">
        <v>4</v>
      </c>
      <c r="J89" s="31" t="s">
        <v>127</v>
      </c>
      <c r="K89" s="10"/>
      <c r="L89" s="10"/>
    </row>
    <row r="90" spans="3:12" ht="19.5" customHeight="1" thickBot="1">
      <c r="C90" s="11" t="s">
        <v>22</v>
      </c>
      <c r="D90" s="33"/>
      <c r="E90" s="7" t="s">
        <v>140</v>
      </c>
      <c r="F90" s="8">
        <v>2</v>
      </c>
      <c r="G90" s="8">
        <v>3</v>
      </c>
      <c r="H90" s="8">
        <v>4</v>
      </c>
      <c r="I90" s="8">
        <v>4</v>
      </c>
      <c r="J90" s="31" t="s">
        <v>127</v>
      </c>
      <c r="K90" s="10"/>
      <c r="L90" s="10"/>
    </row>
    <row r="91" spans="3:12" ht="19.5" customHeight="1" thickBot="1">
      <c r="C91" s="11" t="s">
        <v>22</v>
      </c>
      <c r="D91" s="34"/>
      <c r="E91" s="7" t="s">
        <v>141</v>
      </c>
      <c r="F91" s="8">
        <v>1</v>
      </c>
      <c r="G91" s="8">
        <v>2</v>
      </c>
      <c r="H91" s="8">
        <v>3</v>
      </c>
      <c r="I91" s="8">
        <v>4</v>
      </c>
      <c r="J91" s="31" t="s">
        <v>127</v>
      </c>
      <c r="K91" s="18"/>
    </row>
    <row r="92" spans="3:12" ht="19.5" customHeight="1" thickBot="1">
      <c r="C92" s="11" t="s">
        <v>22</v>
      </c>
      <c r="D92" s="33"/>
      <c r="E92" s="7" t="s">
        <v>142</v>
      </c>
      <c r="F92" s="8">
        <v>2</v>
      </c>
      <c r="G92" s="8">
        <v>3</v>
      </c>
      <c r="H92" s="8">
        <v>4</v>
      </c>
      <c r="I92" s="8">
        <v>4</v>
      </c>
      <c r="J92" s="31" t="s">
        <v>127</v>
      </c>
      <c r="K92" s="10"/>
      <c r="L92" s="10"/>
    </row>
    <row r="93" spans="3:12" ht="19.5" customHeight="1" thickBot="1">
      <c r="C93" s="11" t="s">
        <v>22</v>
      </c>
      <c r="D93" s="34"/>
      <c r="E93" s="7" t="s">
        <v>143</v>
      </c>
      <c r="F93" s="8">
        <v>3</v>
      </c>
      <c r="G93" s="8">
        <v>4</v>
      </c>
      <c r="H93" s="8">
        <v>4</v>
      </c>
      <c r="I93" s="8">
        <v>4</v>
      </c>
      <c r="J93" s="31" t="s">
        <v>144</v>
      </c>
      <c r="L93" s="10"/>
    </row>
    <row r="94" spans="3:12" ht="19.5" customHeight="1" thickBot="1">
      <c r="C94" s="11" t="s">
        <v>22</v>
      </c>
      <c r="D94" s="33"/>
      <c r="E94" s="7" t="s">
        <v>145</v>
      </c>
      <c r="F94" s="8">
        <v>1</v>
      </c>
      <c r="G94" s="8">
        <v>2</v>
      </c>
      <c r="H94" s="8">
        <v>3</v>
      </c>
      <c r="I94" s="8">
        <v>4</v>
      </c>
      <c r="J94" s="31" t="s">
        <v>144</v>
      </c>
      <c r="L94" s="10"/>
    </row>
    <row r="95" spans="3:12" ht="19.5" customHeight="1" thickBot="1">
      <c r="C95" s="11" t="s">
        <v>22</v>
      </c>
      <c r="D95" s="33"/>
      <c r="E95" s="7" t="s">
        <v>146</v>
      </c>
      <c r="F95" s="8">
        <v>1</v>
      </c>
      <c r="G95" s="8">
        <v>2</v>
      </c>
      <c r="H95" s="8">
        <v>3</v>
      </c>
      <c r="I95" s="8">
        <v>4</v>
      </c>
      <c r="J95" s="31" t="s">
        <v>144</v>
      </c>
      <c r="L95" s="10"/>
    </row>
    <row r="96" spans="3:12" ht="19.5" customHeight="1">
      <c r="C96" s="11" t="s">
        <v>29</v>
      </c>
      <c r="D96" s="33"/>
      <c r="E96" s="7" t="s">
        <v>147</v>
      </c>
      <c r="F96" s="8">
        <v>2</v>
      </c>
      <c r="G96" s="8">
        <v>3</v>
      </c>
      <c r="H96" s="8">
        <v>4</v>
      </c>
      <c r="I96" s="8">
        <v>4</v>
      </c>
      <c r="J96" s="31" t="s">
        <v>144</v>
      </c>
      <c r="K96" s="4" t="s">
        <v>148</v>
      </c>
      <c r="L96" s="10"/>
    </row>
    <row r="97" spans="3:12" ht="19.5" customHeight="1" thickBot="1">
      <c r="C97" s="11" t="s">
        <v>29</v>
      </c>
      <c r="D97" s="33"/>
      <c r="E97" s="7" t="s">
        <v>149</v>
      </c>
      <c r="F97" s="8" t="s">
        <v>3</v>
      </c>
      <c r="G97" s="8">
        <v>1</v>
      </c>
      <c r="H97" s="8">
        <v>3</v>
      </c>
      <c r="I97" s="8">
        <v>5</v>
      </c>
      <c r="J97" s="31" t="s">
        <v>144</v>
      </c>
      <c r="L97" s="10"/>
    </row>
    <row r="98" spans="3:12" ht="19.5" customHeight="1">
      <c r="C98" s="11" t="s">
        <v>29</v>
      </c>
      <c r="D98" s="33"/>
      <c r="E98" s="7" t="s">
        <v>150</v>
      </c>
      <c r="F98" s="8">
        <v>1</v>
      </c>
      <c r="G98" s="8">
        <v>2</v>
      </c>
      <c r="H98" s="8">
        <v>3</v>
      </c>
      <c r="I98" s="8">
        <v>4</v>
      </c>
      <c r="J98" s="31" t="s">
        <v>144</v>
      </c>
      <c r="L98" s="10"/>
    </row>
    <row r="99" spans="3:12" ht="19.5" customHeight="1" thickBot="1">
      <c r="C99" s="11" t="s">
        <v>22</v>
      </c>
      <c r="D99" s="33"/>
      <c r="E99" s="7" t="s">
        <v>151</v>
      </c>
      <c r="F99" s="8">
        <v>2</v>
      </c>
      <c r="G99" s="8">
        <v>2</v>
      </c>
      <c r="H99" s="8">
        <v>4</v>
      </c>
      <c r="I99" s="8">
        <v>4</v>
      </c>
      <c r="J99" s="31" t="s">
        <v>144</v>
      </c>
      <c r="K99" s="4" t="s">
        <v>152</v>
      </c>
      <c r="L99" s="10"/>
    </row>
    <row r="100" spans="3:12" ht="19.5" customHeight="1" thickBot="1">
      <c r="C100" s="11" t="s">
        <v>22</v>
      </c>
      <c r="D100" s="33"/>
      <c r="E100" s="7" t="s">
        <v>153</v>
      </c>
      <c r="F100" s="8">
        <v>1</v>
      </c>
      <c r="G100" s="8">
        <v>1</v>
      </c>
      <c r="H100" s="8">
        <v>2</v>
      </c>
      <c r="I100" s="8">
        <v>2</v>
      </c>
      <c r="J100" s="31" t="s">
        <v>144</v>
      </c>
      <c r="L100" s="10"/>
    </row>
    <row r="101" spans="3:12" ht="19.5" customHeight="1" thickBot="1">
      <c r="C101" s="11" t="s">
        <v>22</v>
      </c>
      <c r="D101" s="33"/>
      <c r="E101" s="7" t="s">
        <v>154</v>
      </c>
      <c r="F101" s="8">
        <v>2</v>
      </c>
      <c r="G101" s="8">
        <v>3</v>
      </c>
      <c r="H101" s="8">
        <v>4</v>
      </c>
      <c r="I101" s="8">
        <v>4</v>
      </c>
      <c r="J101" s="31" t="s">
        <v>144</v>
      </c>
      <c r="K101" s="4" t="s">
        <v>155</v>
      </c>
      <c r="L101" s="10"/>
    </row>
    <row r="102" spans="3:12" ht="19.5" customHeight="1" thickBot="1">
      <c r="C102" s="11" t="s">
        <v>22</v>
      </c>
      <c r="D102" s="33"/>
      <c r="E102" s="7" t="s">
        <v>156</v>
      </c>
      <c r="F102" s="8" t="s">
        <v>3</v>
      </c>
      <c r="G102" s="8" t="s">
        <v>3</v>
      </c>
      <c r="H102" s="8">
        <v>1</v>
      </c>
      <c r="I102" s="8">
        <v>3</v>
      </c>
      <c r="J102" s="31" t="s">
        <v>144</v>
      </c>
      <c r="L102" s="10"/>
    </row>
    <row r="103" spans="3:12" ht="19.5" customHeight="1" thickBot="1">
      <c r="C103" s="11" t="s">
        <v>22</v>
      </c>
      <c r="D103" s="33"/>
      <c r="E103" s="7" t="s">
        <v>157</v>
      </c>
      <c r="F103" s="8">
        <v>2</v>
      </c>
      <c r="G103" s="8">
        <v>3</v>
      </c>
      <c r="H103" s="8">
        <v>4</v>
      </c>
      <c r="I103" s="8">
        <v>5</v>
      </c>
      <c r="J103" s="31" t="s">
        <v>157</v>
      </c>
      <c r="K103" s="4" t="s">
        <v>158</v>
      </c>
      <c r="L103" s="10"/>
    </row>
    <row r="104" spans="3:12" ht="19.5" customHeight="1" thickBot="1">
      <c r="C104" s="11" t="s">
        <v>22</v>
      </c>
      <c r="D104" s="33"/>
      <c r="E104" s="7" t="s">
        <v>159</v>
      </c>
      <c r="F104" s="8">
        <v>1</v>
      </c>
      <c r="G104" s="8">
        <v>2</v>
      </c>
      <c r="H104" s="8">
        <v>4</v>
      </c>
      <c r="I104" s="8">
        <v>4</v>
      </c>
      <c r="J104" s="31" t="s">
        <v>157</v>
      </c>
      <c r="L104" s="10"/>
    </row>
    <row r="105" spans="3:12" ht="19.5" customHeight="1" thickBot="1">
      <c r="C105" s="11" t="s">
        <v>22</v>
      </c>
      <c r="D105" s="33"/>
      <c r="E105" s="7" t="s">
        <v>160</v>
      </c>
      <c r="F105" s="8" t="s">
        <v>3</v>
      </c>
      <c r="G105" s="8" t="s">
        <v>3</v>
      </c>
      <c r="H105" s="8">
        <v>1</v>
      </c>
      <c r="I105" s="8">
        <v>2</v>
      </c>
      <c r="J105" s="31" t="s">
        <v>157</v>
      </c>
      <c r="L105" s="10"/>
    </row>
    <row r="106" spans="3:12" ht="19.5" customHeight="1">
      <c r="C106" s="11" t="s">
        <v>22</v>
      </c>
      <c r="D106" s="33"/>
      <c r="E106" s="7" t="s">
        <v>161</v>
      </c>
      <c r="F106" s="8">
        <v>2</v>
      </c>
      <c r="G106" s="8">
        <v>3</v>
      </c>
      <c r="H106" s="8">
        <v>4</v>
      </c>
      <c r="I106" s="8">
        <v>5</v>
      </c>
      <c r="J106" s="31" t="s">
        <v>157</v>
      </c>
      <c r="K106" s="4" t="s">
        <v>162</v>
      </c>
      <c r="L106" s="10"/>
    </row>
    <row r="107" spans="3:12">
      <c r="C107" s="11" t="s">
        <v>22</v>
      </c>
      <c r="D107" s="33"/>
      <c r="E107" s="7" t="s">
        <v>163</v>
      </c>
      <c r="F107" s="8">
        <v>1</v>
      </c>
      <c r="G107" s="8">
        <v>2</v>
      </c>
      <c r="H107" s="8">
        <v>3</v>
      </c>
      <c r="I107" s="93">
        <v>3</v>
      </c>
      <c r="J107" s="31" t="s">
        <v>164</v>
      </c>
      <c r="K107" s="94" t="s">
        <v>165</v>
      </c>
      <c r="L107" s="10" t="s">
        <v>166</v>
      </c>
    </row>
    <row r="108" spans="3:12" ht="188.45">
      <c r="C108" s="11" t="s">
        <v>22</v>
      </c>
      <c r="D108" s="33"/>
      <c r="E108" s="7" t="s">
        <v>167</v>
      </c>
      <c r="F108" s="8">
        <v>1</v>
      </c>
      <c r="G108" s="8">
        <v>2</v>
      </c>
      <c r="H108" s="8">
        <v>3</v>
      </c>
      <c r="I108" s="93">
        <v>3</v>
      </c>
      <c r="J108" s="31" t="s">
        <v>164</v>
      </c>
      <c r="K108" s="94" t="s">
        <v>168</v>
      </c>
      <c r="L108" s="10"/>
    </row>
    <row r="109" spans="3:12" ht="116.1">
      <c r="C109" s="11" t="s">
        <v>22</v>
      </c>
      <c r="D109" s="33"/>
      <c r="E109" s="7" t="s">
        <v>169</v>
      </c>
      <c r="F109" s="8">
        <v>1</v>
      </c>
      <c r="G109" s="8">
        <v>2</v>
      </c>
      <c r="H109" s="8">
        <v>3</v>
      </c>
      <c r="I109" s="93">
        <v>3</v>
      </c>
      <c r="J109" s="31" t="s">
        <v>164</v>
      </c>
      <c r="K109" s="94" t="s">
        <v>170</v>
      </c>
      <c r="L109" s="10"/>
    </row>
    <row r="110" spans="3:12" ht="217.5">
      <c r="C110" s="11" t="s">
        <v>22</v>
      </c>
      <c r="D110" s="33"/>
      <c r="E110" s="7" t="s">
        <v>171</v>
      </c>
      <c r="F110" s="8">
        <v>1</v>
      </c>
      <c r="G110" s="8">
        <v>2</v>
      </c>
      <c r="H110" s="8">
        <v>3</v>
      </c>
      <c r="I110" s="93">
        <v>3</v>
      </c>
      <c r="J110" s="31" t="s">
        <v>164</v>
      </c>
      <c r="K110" s="94" t="s">
        <v>172</v>
      </c>
      <c r="L110" s="10"/>
    </row>
    <row r="111" spans="3:12" ht="29.1">
      <c r="C111" s="11" t="s">
        <v>22</v>
      </c>
      <c r="D111" s="33"/>
      <c r="E111" s="7" t="s">
        <v>173</v>
      </c>
      <c r="F111" s="8">
        <v>1</v>
      </c>
      <c r="G111" s="8">
        <v>2</v>
      </c>
      <c r="H111" s="8">
        <v>3</v>
      </c>
      <c r="I111" s="93">
        <v>3</v>
      </c>
      <c r="J111" s="31" t="s">
        <v>164</v>
      </c>
      <c r="K111" s="94" t="s">
        <v>174</v>
      </c>
      <c r="L111" s="10"/>
    </row>
    <row r="112" spans="3:12">
      <c r="C112" s="54" t="s">
        <v>22</v>
      </c>
      <c r="D112" s="40"/>
      <c r="E112" s="41" t="s">
        <v>175</v>
      </c>
      <c r="F112" s="42">
        <v>1</v>
      </c>
      <c r="G112" s="42">
        <v>2</v>
      </c>
      <c r="H112" s="42">
        <v>3</v>
      </c>
      <c r="I112" s="95">
        <v>3</v>
      </c>
      <c r="J112" s="55" t="s">
        <v>164</v>
      </c>
      <c r="K112" s="96" t="s">
        <v>176</v>
      </c>
      <c r="L112" s="16"/>
    </row>
  </sheetData>
  <mergeCells count="7">
    <mergeCell ref="E7:I7"/>
    <mergeCell ref="E8:I8"/>
    <mergeCell ref="E2:I2"/>
    <mergeCell ref="E3:I3"/>
    <mergeCell ref="E4:I4"/>
    <mergeCell ref="E5:I5"/>
    <mergeCell ref="E6:I6"/>
  </mergeCells>
  <conditionalFormatting sqref="F12:I112">
    <cfRule type="colorScale" priority="20">
      <colorScale>
        <cfvo type="min"/>
        <cfvo type="percentile" val="50"/>
        <cfvo type="max"/>
        <color rgb="FFFDE4DF"/>
        <color rgb="FFFFF7D1"/>
        <color rgb="FFC9EFE4"/>
      </colorScale>
    </cfRule>
  </conditionalFormatting>
  <conditionalFormatting sqref="F12:I170">
    <cfRule type="cellIs" dxfId="42" priority="1" stopIfTrue="1" operator="equal">
      <formula>1</formula>
    </cfRule>
    <cfRule type="cellIs" dxfId="41" priority="2" stopIfTrue="1" operator="equal">
      <formula>2</formula>
    </cfRule>
    <cfRule type="cellIs" dxfId="40" priority="3" stopIfTrue="1" operator="equal">
      <formula>3</formula>
    </cfRule>
    <cfRule type="cellIs" dxfId="39" priority="4" stopIfTrue="1" operator="equal">
      <formula>4</formula>
    </cfRule>
    <cfRule type="cellIs" dxfId="38" priority="5" stopIfTrue="1" operator="equal">
      <formula>5</formula>
    </cfRule>
  </conditionalFormatting>
  <hyperlinks>
    <hyperlink ref="K43" r:id="rId1" display="https://learning.oreilly.com/library/view/software-architecture-patterns/9781491971437/ch03.html" xr:uid="{D6C12A6E-8B7A-4C69-99D1-D0D66537C48E}"/>
    <hyperlink ref="K85" r:id="rId2" display="https://www.dofactory.com/net/design-patterns" xr:uid="{353CFB7C-A4A9-48CE-8C97-E78F6F62595D}"/>
  </hyperlinks>
  <pageMargins left="0.7" right="0.7" top="0.75" bottom="0.75" header="0.3" footer="0.3"/>
  <pageSetup paperSize="9" fitToWidth="0" fitToHeight="0" orientation="landscape" r:id="rId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C90B-FFE5-4E21-BA02-AA63A8913255}">
  <dimension ref="B2:I103"/>
  <sheetViews>
    <sheetView topLeftCell="A37" workbookViewId="0">
      <selection activeCell="D58" sqref="D58"/>
    </sheetView>
  </sheetViews>
  <sheetFormatPr defaultRowHeight="14.45"/>
  <cols>
    <col min="2" max="2" width="7.85546875" bestFit="1" customWidth="1"/>
    <col min="3" max="3" width="36.28515625" bestFit="1" customWidth="1"/>
    <col min="4" max="4" width="8.85546875" style="1" bestFit="1" customWidth="1"/>
    <col min="5" max="5" width="9.7109375" style="1" bestFit="1" customWidth="1"/>
    <col min="6" max="7" width="9.140625" style="1" bestFit="1" customWidth="1"/>
    <col min="8" max="8" width="19" bestFit="1" customWidth="1"/>
    <col min="9" max="9" width="8.28515625" bestFit="1" customWidth="1"/>
  </cols>
  <sheetData>
    <row r="2" spans="2:9">
      <c r="B2" s="84" t="s">
        <v>17</v>
      </c>
      <c r="C2" s="84" t="s">
        <v>177</v>
      </c>
      <c r="D2" s="85" t="s">
        <v>9</v>
      </c>
      <c r="E2" s="85" t="s">
        <v>11</v>
      </c>
      <c r="F2" s="85" t="s">
        <v>13</v>
      </c>
      <c r="G2" s="85" t="s">
        <v>15</v>
      </c>
      <c r="H2" s="85" t="s">
        <v>19</v>
      </c>
      <c r="I2" s="84" t="s">
        <v>16</v>
      </c>
    </row>
    <row r="3" spans="2:9">
      <c r="B3" t="s">
        <v>23</v>
      </c>
      <c r="C3" t="e" vm="1">
        <v>#VALUE!</v>
      </c>
      <c r="D3" s="1">
        <v>2</v>
      </c>
      <c r="E3" s="1">
        <v>3</v>
      </c>
      <c r="F3" s="1">
        <v>4</v>
      </c>
      <c r="G3" s="1">
        <v>5</v>
      </c>
      <c r="H3" s="1" t="str" cm="1">
        <f t="array" ref="H3">_FV(groupedTable[[#This Row],[TechSkills]],"Category")</f>
        <v>Programming</v>
      </c>
      <c r="I3" s="1" t="str" cm="1">
        <f t="array" ref="I3">_FV(groupedTable[[#This Row],[TechSkills]],"Spec")</f>
        <v>General</v>
      </c>
    </row>
    <row r="4" spans="2:9">
      <c r="B4" t="s">
        <v>23</v>
      </c>
      <c r="C4" t="e" vm="2">
        <v>#VALUE!</v>
      </c>
      <c r="D4" s="1">
        <v>2</v>
      </c>
      <c r="E4" s="1">
        <v>3</v>
      </c>
      <c r="F4" s="1">
        <v>4</v>
      </c>
      <c r="G4" s="1">
        <v>5</v>
      </c>
      <c r="H4" s="1" t="str" cm="1">
        <f t="array" ref="H4">_FV(groupedTable[[#This Row],[TechSkills]],"Category")</f>
        <v>Programming</v>
      </c>
      <c r="I4" s="1" t="str" cm="1">
        <f t="array" ref="I4">_FV(groupedTable[[#This Row],[TechSkills]],"Spec")</f>
        <v>General</v>
      </c>
    </row>
    <row r="5" spans="2:9">
      <c r="C5" t="e" vm="3">
        <v>#VALUE!</v>
      </c>
      <c r="D5" s="1">
        <v>2</v>
      </c>
      <c r="E5" s="1">
        <v>3</v>
      </c>
      <c r="F5" s="1">
        <v>4</v>
      </c>
      <c r="G5" s="1">
        <v>5</v>
      </c>
      <c r="H5" s="1" t="str" cm="1">
        <f t="array" ref="H5">_FV(groupedTable[[#This Row],[TechSkills]],"Category")</f>
        <v>Programming</v>
      </c>
      <c r="I5" s="1" t="str" cm="1">
        <f t="array" ref="I5">_FV(groupedTable[[#This Row],[TechSkills]],"Spec")</f>
        <v>General</v>
      </c>
    </row>
    <row r="6" spans="2:9">
      <c r="B6" t="s">
        <v>23</v>
      </c>
      <c r="C6" t="e" vm="4">
        <v>#VALUE!</v>
      </c>
      <c r="D6" s="1">
        <v>2</v>
      </c>
      <c r="E6" s="1">
        <v>3</v>
      </c>
      <c r="F6" s="1">
        <v>4</v>
      </c>
      <c r="G6" s="1">
        <v>5</v>
      </c>
      <c r="H6" s="1" t="str" cm="1">
        <f t="array" ref="H6">_FV(groupedTable[[#This Row],[TechSkills]],"Category")</f>
        <v>Programming</v>
      </c>
      <c r="I6" s="1" t="str" cm="1">
        <f t="array" ref="I6">_FV(groupedTable[[#This Row],[TechSkills]],"Spec")</f>
        <v>Web</v>
      </c>
    </row>
    <row r="7" spans="2:9">
      <c r="B7" t="s">
        <v>23</v>
      </c>
      <c r="C7" t="e" vm="5">
        <v>#VALUE!</v>
      </c>
      <c r="D7" s="1">
        <v>2</v>
      </c>
      <c r="E7" s="1">
        <v>3</v>
      </c>
      <c r="F7" s="1">
        <v>4</v>
      </c>
      <c r="G7" s="1">
        <v>5</v>
      </c>
      <c r="H7" s="1" t="str" cm="1">
        <f t="array" ref="H7">_FV(groupedTable[[#This Row],[TechSkills]],"Category")</f>
        <v>Programming</v>
      </c>
      <c r="I7" s="1" t="str" cm="1">
        <f t="array" ref="I7">_FV(groupedTable[[#This Row],[TechSkills]],"Spec")</f>
        <v>Web</v>
      </c>
    </row>
    <row r="8" spans="2:9">
      <c r="B8" t="s">
        <v>23</v>
      </c>
      <c r="C8" t="e" vm="6">
        <v>#VALUE!</v>
      </c>
      <c r="D8" s="1">
        <v>2</v>
      </c>
      <c r="E8" s="1">
        <v>3</v>
      </c>
      <c r="F8" s="1">
        <v>4</v>
      </c>
      <c r="G8" s="1">
        <v>5</v>
      </c>
      <c r="H8" s="1" t="str" cm="1">
        <f t="array" ref="H8">_FV(groupedTable[[#This Row],[TechSkills]],"Category")</f>
        <v>Programming</v>
      </c>
      <c r="I8" s="1" t="str" cm="1">
        <f t="array" ref="I8">_FV(groupedTable[[#This Row],[TechSkills]],"Spec")</f>
        <v>Web</v>
      </c>
    </row>
    <row r="9" spans="2:9">
      <c r="C9" t="e" vm="7">
        <v>#VALUE!</v>
      </c>
      <c r="D9" s="1">
        <v>1</v>
      </c>
      <c r="E9" s="1">
        <v>2</v>
      </c>
      <c r="F9" s="1">
        <v>3</v>
      </c>
      <c r="G9" s="1">
        <v>4</v>
      </c>
      <c r="H9" s="1" t="str" cm="1">
        <f t="array" ref="H9">_FV(groupedTable[[#This Row],[TechSkills]],"Category")</f>
        <v>Programming</v>
      </c>
      <c r="I9" s="1" t="str" cm="1">
        <f t="array" ref="I9">_FV(groupedTable[[#This Row],[TechSkills]],"Spec")</f>
        <v>Web</v>
      </c>
    </row>
    <row r="10" spans="2:9">
      <c r="B10" t="s">
        <v>36</v>
      </c>
      <c r="C10" t="e" vm="8">
        <v>#VALUE!</v>
      </c>
      <c r="D10" s="1">
        <v>1</v>
      </c>
      <c r="E10" s="1">
        <v>1</v>
      </c>
      <c r="F10" s="1">
        <v>2</v>
      </c>
      <c r="G10" s="1">
        <v>2</v>
      </c>
      <c r="H10" s="1" t="str" cm="1">
        <f t="array" ref="H10">_FV(groupedTable[[#This Row],[TechSkills]],"Category")</f>
        <v>Programming</v>
      </c>
      <c r="I10" s="1" t="str" cm="1">
        <f t="array" ref="I10">_FV(groupedTable[[#This Row],[TechSkills]],"Spec")</f>
        <v>Web</v>
      </c>
    </row>
    <row r="11" spans="2:9">
      <c r="B11" t="s">
        <v>36</v>
      </c>
      <c r="C11" t="e" vm="9">
        <v>#VALUE!</v>
      </c>
      <c r="D11" s="1">
        <v>1</v>
      </c>
      <c r="E11" s="1">
        <v>1</v>
      </c>
      <c r="F11" s="1">
        <v>2</v>
      </c>
      <c r="G11" s="1">
        <v>2</v>
      </c>
      <c r="H11" s="1" t="str" cm="1">
        <f t="array" ref="H11">_FV(groupedTable[[#This Row],[TechSkills]],"Category")</f>
        <v>Programming</v>
      </c>
      <c r="I11" s="1" t="str" cm="1">
        <f t="array" ref="I11">_FV(groupedTable[[#This Row],[TechSkills]],"Spec")</f>
        <v>Web</v>
      </c>
    </row>
    <row r="12" spans="2:9">
      <c r="B12" t="s">
        <v>36</v>
      </c>
      <c r="C12" t="e" vm="10">
        <v>#VALUE!</v>
      </c>
      <c r="D12" s="1">
        <v>1</v>
      </c>
      <c r="E12" s="1">
        <v>2</v>
      </c>
      <c r="F12" s="1">
        <v>2</v>
      </c>
      <c r="G12" s="1">
        <v>2</v>
      </c>
      <c r="H12" s="1" t="str" cm="1">
        <f t="array" ref="H12">_FV(groupedTable[[#This Row],[TechSkills]],"Category")</f>
        <v>Programming</v>
      </c>
      <c r="I12" s="1" t="str" cm="1">
        <f t="array" ref="I12">_FV(groupedTable[[#This Row],[TechSkills]],"Spec")</f>
        <v>Web</v>
      </c>
    </row>
    <row r="13" spans="2:9">
      <c r="C13" t="e" vm="11">
        <v>#VALUE!</v>
      </c>
      <c r="D13" s="1">
        <v>1</v>
      </c>
      <c r="E13" s="1">
        <v>2</v>
      </c>
      <c r="F13" s="1">
        <v>3</v>
      </c>
      <c r="G13" s="1">
        <v>4</v>
      </c>
      <c r="H13" s="1" t="str" cm="1">
        <f t="array" ref="H13">_FV(groupedTable[[#This Row],[TechSkills]],"Category")</f>
        <v>Programming</v>
      </c>
      <c r="I13" s="1" t="str" cm="1">
        <f t="array" ref="I13">_FV(groupedTable[[#This Row],[TechSkills]],"Spec")</f>
        <v>General</v>
      </c>
    </row>
    <row r="14" spans="2:9">
      <c r="C14" t="e" vm="12">
        <v>#VALUE!</v>
      </c>
      <c r="D14" s="1" t="s">
        <v>3</v>
      </c>
      <c r="E14" s="1" t="s">
        <v>3</v>
      </c>
      <c r="F14" s="1">
        <v>1</v>
      </c>
      <c r="G14" s="1">
        <v>2</v>
      </c>
      <c r="H14" s="1" t="str" cm="1">
        <f t="array" ref="H14">_FV(groupedTable[[#This Row],[TechSkills]],"Category")</f>
        <v>Programming</v>
      </c>
      <c r="I14" s="1" t="str" cm="1">
        <f t="array" ref="I14">_FV(groupedTable[[#This Row],[TechSkills]],"Spec")</f>
        <v>Mobile</v>
      </c>
    </row>
    <row r="15" spans="2:9">
      <c r="B15" t="s">
        <v>36</v>
      </c>
      <c r="C15" t="e" vm="13">
        <v>#VALUE!</v>
      </c>
      <c r="D15" s="1" t="s">
        <v>3</v>
      </c>
      <c r="E15" s="1">
        <v>1</v>
      </c>
      <c r="F15" s="1">
        <v>1</v>
      </c>
      <c r="G15" s="1">
        <v>1</v>
      </c>
      <c r="H15" s="1" t="str" cm="1">
        <f t="array" ref="H15">_FV(groupedTable[[#This Row],[TechSkills]],"Category")</f>
        <v>Programming</v>
      </c>
      <c r="I15" s="1" t="str" cm="1">
        <f t="array" ref="I15">_FV(groupedTable[[#This Row],[TechSkills]],"Spec")</f>
        <v>Mobile</v>
      </c>
    </row>
    <row r="16" spans="2:9">
      <c r="B16" t="s">
        <v>23</v>
      </c>
      <c r="C16" t="e" vm="14">
        <v>#VALUE!</v>
      </c>
      <c r="D16" s="1">
        <v>2</v>
      </c>
      <c r="E16" s="1">
        <v>3</v>
      </c>
      <c r="F16" s="1">
        <v>4</v>
      </c>
      <c r="G16" s="1">
        <v>5</v>
      </c>
      <c r="H16" s="1" t="str" cm="1">
        <f t="array" ref="H16">_FV(groupedTable[[#This Row],[TechSkills]],"Category")</f>
        <v>Programming</v>
      </c>
      <c r="I16" s="1" t="str" cm="1">
        <f t="array" ref="I16">_FV(groupedTable[[#This Row],[TechSkills]],"Spec")</f>
        <v>Desktop</v>
      </c>
    </row>
    <row r="17" spans="2:9">
      <c r="B17" t="s">
        <v>23</v>
      </c>
      <c r="C17" t="e" vm="15">
        <v>#VALUE!</v>
      </c>
      <c r="D17" s="1">
        <v>3</v>
      </c>
      <c r="E17" s="1">
        <v>3</v>
      </c>
      <c r="F17" s="1">
        <v>4</v>
      </c>
      <c r="G17" s="1">
        <v>5</v>
      </c>
      <c r="H17" s="1" t="str" cm="1">
        <f t="array" ref="H17">_FV(groupedTable[[#This Row],[TechSkills]],"Category")</f>
        <v>Programming</v>
      </c>
      <c r="I17" s="1" t="str" cm="1">
        <f t="array" ref="I17">_FV(groupedTable[[#This Row],[TechSkills]],"Spec")</f>
        <v>Desktop</v>
      </c>
    </row>
    <row r="18" spans="2:9">
      <c r="B18" t="s">
        <v>23</v>
      </c>
      <c r="C18" t="e" vm="16">
        <v>#VALUE!</v>
      </c>
      <c r="D18" s="1">
        <v>3</v>
      </c>
      <c r="E18" s="1">
        <v>3</v>
      </c>
      <c r="F18" s="1">
        <v>4</v>
      </c>
      <c r="G18" s="1">
        <v>5</v>
      </c>
      <c r="H18" s="1" t="str" cm="1">
        <f t="array" ref="H18">_FV(groupedTable[[#This Row],[TechSkills]],"Category")</f>
        <v>Programming</v>
      </c>
      <c r="I18" s="1" t="str" cm="1">
        <f t="array" ref="I18">_FV(groupedTable[[#This Row],[TechSkills]],"Spec")</f>
        <v>Desktop</v>
      </c>
    </row>
    <row r="19" spans="2:9">
      <c r="C19" t="e" vm="17">
        <v>#VALUE!</v>
      </c>
      <c r="D19" s="1">
        <v>1</v>
      </c>
      <c r="E19" s="1">
        <v>3</v>
      </c>
      <c r="F19" s="1">
        <v>4</v>
      </c>
      <c r="G19" s="1">
        <v>4</v>
      </c>
      <c r="H19" s="1" t="str" cm="1">
        <f t="array" ref="H19">_FV(groupedTable[[#This Row],[TechSkills]],"Category")</f>
        <v>Architecture</v>
      </c>
      <c r="I19" s="1" t="str" cm="1">
        <f t="array" ref="I19">_FV(groupedTable[[#This Row],[TechSkills]],"Spec")</f>
        <v>Web</v>
      </c>
    </row>
    <row r="20" spans="2:9">
      <c r="C20" t="e" vm="18">
        <v>#VALUE!</v>
      </c>
      <c r="D20" s="1">
        <v>1</v>
      </c>
      <c r="E20" s="1">
        <v>3</v>
      </c>
      <c r="F20" s="1">
        <v>4</v>
      </c>
      <c r="G20" s="1">
        <v>4</v>
      </c>
      <c r="H20" s="1" t="str" cm="1">
        <f t="array" ref="H20">_FV(groupedTable[[#This Row],[TechSkills]],"Category")</f>
        <v>Architecture</v>
      </c>
      <c r="I20" s="1" t="str" cm="1">
        <f t="array" ref="I20">_FV(groupedTable[[#This Row],[TechSkills]],"Spec")</f>
        <v>General</v>
      </c>
    </row>
    <row r="21" spans="2:9">
      <c r="C21" t="e" vm="19">
        <v>#VALUE!</v>
      </c>
      <c r="D21" s="1">
        <v>1</v>
      </c>
      <c r="E21" s="1">
        <v>2</v>
      </c>
      <c r="F21" s="1">
        <v>3</v>
      </c>
      <c r="G21" s="1">
        <v>4</v>
      </c>
      <c r="H21" s="1" t="str" cm="1">
        <f t="array" ref="H21">_FV(groupedTable[[#This Row],[TechSkills]],"Category")</f>
        <v>Architecture</v>
      </c>
      <c r="I21" s="1" t="str" cm="1">
        <f t="array" ref="I21">_FV(groupedTable[[#This Row],[TechSkills]],"Spec")</f>
        <v>Web</v>
      </c>
    </row>
    <row r="22" spans="2:9">
      <c r="C22" t="e" vm="20">
        <v>#VALUE!</v>
      </c>
      <c r="D22" s="1">
        <v>2</v>
      </c>
      <c r="E22" s="1">
        <v>3</v>
      </c>
      <c r="F22" s="1">
        <v>4</v>
      </c>
      <c r="G22" s="1">
        <v>5</v>
      </c>
      <c r="H22" s="1" t="str" cm="1">
        <f t="array" ref="H22">_FV(groupedTable[[#This Row],[TechSkills]],"Category")</f>
        <v>Architecture</v>
      </c>
      <c r="I22" s="1" t="str" cm="1">
        <f t="array" ref="I22">_FV(groupedTable[[#This Row],[TechSkills]],"Spec")</f>
        <v>General</v>
      </c>
    </row>
    <row r="23" spans="2:9">
      <c r="C23" t="e" vm="21">
        <v>#VALUE!</v>
      </c>
      <c r="D23" s="1">
        <v>2</v>
      </c>
      <c r="E23" s="1">
        <v>3</v>
      </c>
      <c r="F23" s="1">
        <v>4</v>
      </c>
      <c r="G23" s="1">
        <v>5</v>
      </c>
      <c r="H23" s="1" t="str" cm="1">
        <f t="array" ref="H23">_FV(groupedTable[[#This Row],[TechSkills]],"Category")</f>
        <v>Architecture</v>
      </c>
      <c r="I23" s="1" t="str" cm="1">
        <f t="array" ref="I23">_FV(groupedTable[[#This Row],[TechSkills]],"Spec")</f>
        <v>General</v>
      </c>
    </row>
    <row r="24" spans="2:9">
      <c r="C24" t="e" vm="22">
        <v>#VALUE!</v>
      </c>
      <c r="D24" s="1" t="s">
        <v>3</v>
      </c>
      <c r="E24" s="1">
        <v>1</v>
      </c>
      <c r="F24" s="1">
        <v>3</v>
      </c>
      <c r="G24" s="1">
        <v>4</v>
      </c>
      <c r="H24" s="1" t="str" cm="1">
        <f t="array" ref="H24">_FV(groupedTable[[#This Row],[TechSkills]],"Category")</f>
        <v>Architecture</v>
      </c>
      <c r="I24" s="1" t="str" cm="1">
        <f t="array" ref="I24">_FV(groupedTable[[#This Row],[TechSkills]],"Spec")</f>
        <v>General</v>
      </c>
    </row>
    <row r="25" spans="2:9">
      <c r="C25" t="e" vm="23">
        <v>#VALUE!</v>
      </c>
      <c r="D25" s="1" t="s">
        <v>3</v>
      </c>
      <c r="E25" s="1">
        <v>1</v>
      </c>
      <c r="F25" s="1">
        <v>3</v>
      </c>
      <c r="G25" s="1">
        <v>5</v>
      </c>
      <c r="H25" s="1" t="str" cm="1">
        <f t="array" ref="H25">_FV(groupedTable[[#This Row],[TechSkills]],"Category")</f>
        <v>Architecture</v>
      </c>
      <c r="I25" s="1" t="str" cm="1">
        <f t="array" ref="I25">_FV(groupedTable[[#This Row],[TechSkills]],"Spec")</f>
        <v>Web</v>
      </c>
    </row>
    <row r="26" spans="2:9">
      <c r="C26" t="e" vm="24">
        <v>#VALUE!</v>
      </c>
      <c r="D26" s="1" t="s">
        <v>3</v>
      </c>
      <c r="E26" s="1">
        <v>1</v>
      </c>
      <c r="F26" s="1">
        <v>2</v>
      </c>
      <c r="G26" s="1">
        <v>3</v>
      </c>
      <c r="H26" s="1" t="str" cm="1">
        <f t="array" ref="H26">_FV(groupedTable[[#This Row],[TechSkills]],"Category")</f>
        <v>Architecture</v>
      </c>
      <c r="I26" s="1" t="str" cm="1">
        <f t="array" ref="I26">_FV(groupedTable[[#This Row],[TechSkills]],"Spec")</f>
        <v>Web</v>
      </c>
    </row>
    <row r="27" spans="2:9">
      <c r="C27" t="e" vm="25">
        <v>#VALUE!</v>
      </c>
      <c r="D27" s="1" t="s">
        <v>3</v>
      </c>
      <c r="E27" s="1">
        <v>1</v>
      </c>
      <c r="F27" s="1">
        <v>3</v>
      </c>
      <c r="G27" s="1">
        <v>3</v>
      </c>
      <c r="H27" s="1" t="str" cm="1">
        <f t="array" ref="H27">_FV(groupedTable[[#This Row],[TechSkills]],"Category")</f>
        <v>Architecture</v>
      </c>
      <c r="I27" s="1" t="str" cm="1">
        <f t="array" ref="I27">_FV(groupedTable[[#This Row],[TechSkills]],"Spec")</f>
        <v>Web</v>
      </c>
    </row>
    <row r="28" spans="2:9">
      <c r="C28" t="e" vm="26">
        <v>#VALUE!</v>
      </c>
      <c r="D28" s="1" t="s">
        <v>3</v>
      </c>
      <c r="E28" s="1">
        <v>1</v>
      </c>
      <c r="F28" s="1">
        <v>3</v>
      </c>
      <c r="G28" s="1">
        <v>4</v>
      </c>
      <c r="H28" s="1" t="str" cm="1">
        <f t="array" ref="H28">_FV(groupedTable[[#This Row],[TechSkills]],"Category")</f>
        <v>Architecture</v>
      </c>
      <c r="I28" s="1" t="str" cm="1">
        <f t="array" ref="I28">_FV(groupedTable[[#This Row],[TechSkills]],"Spec")</f>
        <v>General</v>
      </c>
    </row>
    <row r="29" spans="2:9">
      <c r="C29" t="e" vm="27">
        <v>#VALUE!</v>
      </c>
      <c r="D29" s="1">
        <v>1</v>
      </c>
      <c r="E29" s="1">
        <v>2</v>
      </c>
      <c r="F29" s="1">
        <v>2</v>
      </c>
      <c r="G29" s="1">
        <v>3</v>
      </c>
      <c r="H29" s="1" t="str" cm="1">
        <f t="array" ref="H29">_FV(groupedTable[[#This Row],[TechSkills]],"Category")</f>
        <v>Architecture</v>
      </c>
      <c r="I29" s="1" t="str" cm="1">
        <f t="array" ref="I29">_FV(groupedTable[[#This Row],[TechSkills]],"Spec")</f>
        <v>General</v>
      </c>
    </row>
    <row r="30" spans="2:9">
      <c r="C30" t="e" vm="28">
        <v>#VALUE!</v>
      </c>
      <c r="D30" s="1" t="s">
        <v>3</v>
      </c>
      <c r="E30" s="1" t="s">
        <v>3</v>
      </c>
      <c r="F30" s="1">
        <v>2</v>
      </c>
      <c r="G30" s="1">
        <v>3</v>
      </c>
      <c r="H30" s="1" t="str" cm="1">
        <f t="array" ref="H30">_FV(groupedTable[[#This Row],[TechSkills]],"Category")</f>
        <v>Architecture</v>
      </c>
      <c r="I30" s="1" t="str" cm="1">
        <f t="array" ref="I30">_FV(groupedTable[[#This Row],[TechSkills]],"Spec")</f>
        <v>General</v>
      </c>
    </row>
    <row r="31" spans="2:9">
      <c r="C31" t="e" vm="29">
        <v>#VALUE!</v>
      </c>
      <c r="D31" s="1" t="s">
        <v>3</v>
      </c>
      <c r="E31" s="1">
        <v>1</v>
      </c>
      <c r="F31" s="1">
        <v>2</v>
      </c>
      <c r="G31" s="1">
        <v>3</v>
      </c>
      <c r="H31" s="1" t="str" cm="1">
        <f t="array" ref="H31">_FV(groupedTable[[#This Row],[TechSkills]],"Category")</f>
        <v>Architecture</v>
      </c>
      <c r="I31" s="1" t="str" cm="1">
        <f t="array" ref="I31">_FV(groupedTable[[#This Row],[TechSkills]],"Spec")</f>
        <v>General</v>
      </c>
    </row>
    <row r="32" spans="2:9">
      <c r="C32" t="e" vm="30">
        <v>#VALUE!</v>
      </c>
      <c r="D32" s="1" t="s">
        <v>3</v>
      </c>
      <c r="E32" s="1">
        <v>1</v>
      </c>
      <c r="F32" s="1">
        <v>2</v>
      </c>
      <c r="G32" s="1">
        <v>4</v>
      </c>
      <c r="H32" s="1" t="str" cm="1">
        <f t="array" ref="H32">_FV(groupedTable[[#This Row],[TechSkills]],"Category")</f>
        <v>Architecture</v>
      </c>
      <c r="I32" s="1" t="str" cm="1">
        <f t="array" ref="I32">_FV(groupedTable[[#This Row],[TechSkills]],"Spec")</f>
        <v>General</v>
      </c>
    </row>
    <row r="33" spans="2:9">
      <c r="C33" t="e" vm="31">
        <v>#VALUE!</v>
      </c>
      <c r="D33" s="1" t="s">
        <v>3</v>
      </c>
      <c r="E33" s="1">
        <v>1</v>
      </c>
      <c r="F33" s="1">
        <v>2</v>
      </c>
      <c r="G33" s="1">
        <v>3</v>
      </c>
      <c r="H33" s="1" t="str" cm="1">
        <f t="array" ref="H33">_FV(groupedTable[[#This Row],[TechSkills]],"Category")</f>
        <v>Architecture</v>
      </c>
      <c r="I33" s="1" t="str" cm="1">
        <f t="array" ref="I33">_FV(groupedTable[[#This Row],[TechSkills]],"Spec")</f>
        <v>General</v>
      </c>
    </row>
    <row r="34" spans="2:9">
      <c r="C34" t="e" vm="32">
        <v>#VALUE!</v>
      </c>
      <c r="D34" s="1">
        <v>1</v>
      </c>
      <c r="E34" s="1">
        <v>2</v>
      </c>
      <c r="F34" s="1">
        <v>3</v>
      </c>
      <c r="G34" s="1">
        <v>4</v>
      </c>
      <c r="H34" s="1" t="str" cm="1">
        <f t="array" ref="H34">_FV(groupedTable[[#This Row],[TechSkills]],"Category")</f>
        <v>Architecture</v>
      </c>
      <c r="I34" s="1" t="str" cm="1">
        <f t="array" ref="I34">_FV(groupedTable[[#This Row],[TechSkills]],"Spec")</f>
        <v>General</v>
      </c>
    </row>
    <row r="35" spans="2:9">
      <c r="C35" t="e" vm="33">
        <v>#VALUE!</v>
      </c>
      <c r="D35" s="1" t="s">
        <v>3</v>
      </c>
      <c r="E35" s="1">
        <v>1</v>
      </c>
      <c r="F35" s="1">
        <v>3</v>
      </c>
      <c r="G35" s="1">
        <v>3</v>
      </c>
      <c r="H35" s="1" t="str" cm="1">
        <f t="array" ref="H35">_FV(groupedTable[[#This Row],[TechSkills]],"Category")</f>
        <v>Architecture</v>
      </c>
      <c r="I35" s="1" t="str" cm="1">
        <f t="array" ref="I35">_FV(groupedTable[[#This Row],[TechSkills]],"Spec")</f>
        <v>Web</v>
      </c>
    </row>
    <row r="36" spans="2:9">
      <c r="B36" t="s">
        <v>23</v>
      </c>
      <c r="C36" t="e" vm="34">
        <v>#VALUE!</v>
      </c>
      <c r="D36" s="1">
        <v>1</v>
      </c>
      <c r="E36" s="1">
        <v>2</v>
      </c>
      <c r="F36" s="1">
        <v>3</v>
      </c>
      <c r="G36" s="1">
        <v>4</v>
      </c>
      <c r="H36" s="1" t="str" cm="1">
        <f t="array" ref="H36">_FV(groupedTable[[#This Row],[TechSkills]],"Category")</f>
        <v>Architecture</v>
      </c>
      <c r="I36" s="1" t="str" cm="1">
        <f t="array" ref="I36">_FV(groupedTable[[#This Row],[TechSkills]],"Spec")</f>
        <v>General</v>
      </c>
    </row>
    <row r="37" spans="2:9">
      <c r="B37" t="s">
        <v>23</v>
      </c>
      <c r="C37" t="e" vm="35">
        <v>#VALUE!</v>
      </c>
      <c r="D37" s="1">
        <v>1</v>
      </c>
      <c r="E37" s="1">
        <v>2</v>
      </c>
      <c r="F37" s="1">
        <v>3</v>
      </c>
      <c r="G37" s="1">
        <v>3</v>
      </c>
      <c r="H37" s="1" t="str" cm="1">
        <f t="array" ref="H37">_FV(groupedTable[[#This Row],[TechSkills]],"Category")</f>
        <v>Architecture</v>
      </c>
      <c r="I37" s="1" t="str" cm="1">
        <f t="array" ref="I37">_FV(groupedTable[[#This Row],[TechSkills]],"Spec")</f>
        <v>General</v>
      </c>
    </row>
    <row r="38" spans="2:9">
      <c r="B38" t="s">
        <v>23</v>
      </c>
      <c r="C38" t="e" vm="36">
        <v>#VALUE!</v>
      </c>
      <c r="D38" s="1">
        <v>1</v>
      </c>
      <c r="E38" s="1">
        <v>2</v>
      </c>
      <c r="F38" s="1">
        <v>3</v>
      </c>
      <c r="G38" s="1">
        <v>3</v>
      </c>
      <c r="H38" s="1" t="str" cm="1">
        <f t="array" ref="H38">_FV(groupedTable[[#This Row],[TechSkills]],"Category")</f>
        <v>Architecture</v>
      </c>
      <c r="I38" s="1" t="str" cm="1">
        <f t="array" ref="I38">_FV(groupedTable[[#This Row],[TechSkills]],"Spec")</f>
        <v>General</v>
      </c>
    </row>
    <row r="39" spans="2:9">
      <c r="C39" t="e" vm="37">
        <v>#VALUE!</v>
      </c>
      <c r="D39" s="1" t="s">
        <v>3</v>
      </c>
      <c r="E39" s="1">
        <v>1</v>
      </c>
      <c r="F39" s="1">
        <v>2</v>
      </c>
      <c r="G39" s="1">
        <v>3</v>
      </c>
      <c r="H39" s="1" t="str" cm="1">
        <f t="array" ref="H39">_FV(groupedTable[[#This Row],[TechSkills]],"Category")</f>
        <v>Architecture</v>
      </c>
      <c r="I39" s="1" t="str" cm="1">
        <f t="array" ref="I39">_FV(groupedTable[[#This Row],[TechSkills]],"Spec")</f>
        <v>Web</v>
      </c>
    </row>
    <row r="40" spans="2:9">
      <c r="C40" t="e" vm="38">
        <v>#VALUE!</v>
      </c>
      <c r="D40" s="1">
        <v>2</v>
      </c>
      <c r="E40" s="1">
        <v>3</v>
      </c>
      <c r="F40" s="1">
        <v>4</v>
      </c>
      <c r="G40" s="1">
        <v>4</v>
      </c>
      <c r="H40" s="1" t="str" cm="1">
        <f t="array" ref="H40">_FV(groupedTable[[#This Row],[TechSkills]],"Category")</f>
        <v>Computer Science</v>
      </c>
      <c r="I40" s="1" t="str" cm="1">
        <f t="array" ref="I40">_FV(groupedTable[[#This Row],[TechSkills]],"Spec")</f>
        <v>General</v>
      </c>
    </row>
    <row r="41" spans="2:9">
      <c r="C41" t="e" vm="39">
        <v>#VALUE!</v>
      </c>
      <c r="D41" s="1">
        <v>2</v>
      </c>
      <c r="E41" s="1">
        <v>3</v>
      </c>
      <c r="F41" s="1">
        <v>4</v>
      </c>
      <c r="G41" s="1">
        <v>4</v>
      </c>
      <c r="H41" s="1" t="str" cm="1">
        <f t="array" ref="H41">_FV(groupedTable[[#This Row],[TechSkills]],"Category")</f>
        <v>Computer Science</v>
      </c>
      <c r="I41" s="1" t="str" cm="1">
        <f t="array" ref="I41">_FV(groupedTable[[#This Row],[TechSkills]],"Spec")</f>
        <v>General</v>
      </c>
    </row>
    <row r="42" spans="2:9">
      <c r="C42" t="e" vm="40">
        <v>#VALUE!</v>
      </c>
      <c r="D42" s="1">
        <v>2</v>
      </c>
      <c r="E42" s="1">
        <v>3</v>
      </c>
      <c r="F42" s="1">
        <v>4</v>
      </c>
      <c r="G42" s="1">
        <v>4</v>
      </c>
      <c r="H42" s="1" t="str" cm="1">
        <f t="array" ref="H42">_FV(groupedTable[[#This Row],[TechSkills]],"Category")</f>
        <v>Computer Science</v>
      </c>
      <c r="I42" s="1" t="str" cm="1">
        <f t="array" ref="I42">_FV(groupedTable[[#This Row],[TechSkills]],"Spec")</f>
        <v>General</v>
      </c>
    </row>
    <row r="43" spans="2:9">
      <c r="C43" t="e" vm="41">
        <v>#VALUE!</v>
      </c>
      <c r="D43" s="1">
        <v>2</v>
      </c>
      <c r="E43" s="1">
        <v>3</v>
      </c>
      <c r="F43" s="1">
        <v>4</v>
      </c>
      <c r="G43" s="1">
        <v>4</v>
      </c>
      <c r="H43" s="1" t="str" cm="1">
        <f t="array" ref="H43">_FV(groupedTable[[#This Row],[TechSkills]],"Category")</f>
        <v>Computer Science</v>
      </c>
      <c r="I43" s="1" t="str" cm="1">
        <f t="array" ref="I43">_FV(groupedTable[[#This Row],[TechSkills]],"Spec")</f>
        <v>General</v>
      </c>
    </row>
    <row r="44" spans="2:9">
      <c r="C44" t="e" vm="42">
        <v>#VALUE!</v>
      </c>
      <c r="D44" s="1">
        <v>1</v>
      </c>
      <c r="E44" s="1">
        <v>2</v>
      </c>
      <c r="F44" s="1">
        <v>3</v>
      </c>
      <c r="G44" s="1">
        <v>4</v>
      </c>
      <c r="H44" s="1" t="str" cm="1">
        <f t="array" ref="H44">_FV(groupedTable[[#This Row],[TechSkills]],"Category")</f>
        <v>Computer Science</v>
      </c>
      <c r="I44" s="1" t="str" cm="1">
        <f t="array" ref="I44">_FV(groupedTable[[#This Row],[TechSkills]],"Spec")</f>
        <v>General</v>
      </c>
    </row>
    <row r="45" spans="2:9">
      <c r="C45" t="e" vm="43">
        <v>#VALUE!</v>
      </c>
      <c r="D45" s="1">
        <v>2</v>
      </c>
      <c r="E45" s="1">
        <v>3</v>
      </c>
      <c r="F45" s="1">
        <v>4</v>
      </c>
      <c r="G45" s="1">
        <v>4</v>
      </c>
      <c r="H45" s="1" t="str" cm="1">
        <f t="array" ref="H45">_FV(groupedTable[[#This Row],[TechSkills]],"Category")</f>
        <v>Computer Science</v>
      </c>
      <c r="I45" s="1" t="str" cm="1">
        <f t="array" ref="I45">_FV(groupedTable[[#This Row],[TechSkills]],"Spec")</f>
        <v>General</v>
      </c>
    </row>
    <row r="46" spans="2:9">
      <c r="C46" t="e" vm="44">
        <v>#VALUE!</v>
      </c>
      <c r="D46" s="1">
        <v>2</v>
      </c>
      <c r="E46" s="1">
        <v>3</v>
      </c>
      <c r="F46" s="1">
        <v>4</v>
      </c>
      <c r="G46" s="1">
        <v>4</v>
      </c>
      <c r="H46" s="1" t="str" cm="1">
        <f t="array" ref="H46">_FV(groupedTable[[#This Row],[TechSkills]],"Category")</f>
        <v>Computer Science</v>
      </c>
      <c r="I46" s="1" t="str" cm="1">
        <f t="array" ref="I46">_FV(groupedTable[[#This Row],[TechSkills]],"Spec")</f>
        <v>General</v>
      </c>
    </row>
    <row r="47" spans="2:9">
      <c r="C47" t="e" vm="45">
        <v>#VALUE!</v>
      </c>
      <c r="D47" s="1">
        <v>2</v>
      </c>
      <c r="E47" s="1">
        <v>3</v>
      </c>
      <c r="F47" s="1">
        <v>4</v>
      </c>
      <c r="G47" s="1">
        <v>4</v>
      </c>
      <c r="H47" s="1" t="str" cm="1">
        <f t="array" ref="H47">_FV(groupedTable[[#This Row],[TechSkills]],"Category")</f>
        <v>Computer Science</v>
      </c>
      <c r="I47" s="1" t="str" cm="1">
        <f t="array" ref="I47">_FV(groupedTable[[#This Row],[TechSkills]],"Spec")</f>
        <v>General</v>
      </c>
    </row>
    <row r="48" spans="2:9">
      <c r="C48" t="e" vm="46">
        <v>#VALUE!</v>
      </c>
      <c r="D48" s="1">
        <v>2</v>
      </c>
      <c r="E48" s="1">
        <v>3</v>
      </c>
      <c r="F48" s="1">
        <v>4</v>
      </c>
      <c r="G48" s="1">
        <v>4</v>
      </c>
      <c r="H48" s="1" t="str" cm="1">
        <f t="array" ref="H48">_FV(groupedTable[[#This Row],[TechSkills]],"Category")</f>
        <v>Computer Science</v>
      </c>
      <c r="I48" s="1" t="str" cm="1">
        <f t="array" ref="I48">_FV(groupedTable[[#This Row],[TechSkills]],"Spec")</f>
        <v>General</v>
      </c>
    </row>
    <row r="49" spans="3:9">
      <c r="C49" t="e" vm="47">
        <v>#VALUE!</v>
      </c>
      <c r="D49" s="1">
        <v>1</v>
      </c>
      <c r="E49" s="1">
        <v>2</v>
      </c>
      <c r="F49" s="1">
        <v>3</v>
      </c>
      <c r="G49" s="1">
        <v>3</v>
      </c>
      <c r="H49" s="1" t="str" cm="1">
        <f t="array" ref="H49">_FV(groupedTable[[#This Row],[TechSkills]],"Category")</f>
        <v>Computer Science</v>
      </c>
      <c r="I49" s="1" t="str" cm="1">
        <f t="array" ref="I49">_FV(groupedTable[[#This Row],[TechSkills]],"Spec")</f>
        <v>General</v>
      </c>
    </row>
    <row r="50" spans="3:9">
      <c r="C50" t="e" vm="48">
        <v>#VALUE!</v>
      </c>
      <c r="D50" s="1">
        <v>2</v>
      </c>
      <c r="E50" s="1">
        <v>3</v>
      </c>
      <c r="F50" s="1">
        <v>4</v>
      </c>
      <c r="G50" s="1">
        <v>5</v>
      </c>
      <c r="H50" s="1" t="str" cm="1">
        <f t="array" ref="H50">_FV(groupedTable[[#This Row],[TechSkills]],"Category")</f>
        <v>Data Persistence</v>
      </c>
      <c r="I50" s="1" t="str" cm="1">
        <f t="array" ref="I50">_FV(groupedTable[[#This Row],[TechSkills]],"Spec")</f>
        <v>General</v>
      </c>
    </row>
    <row r="51" spans="3:9">
      <c r="C51" t="e" vm="49">
        <v>#VALUE!</v>
      </c>
      <c r="D51" s="1">
        <v>1</v>
      </c>
      <c r="E51" s="1">
        <v>2</v>
      </c>
      <c r="F51" s="1">
        <v>3</v>
      </c>
      <c r="G51" s="1">
        <v>4</v>
      </c>
      <c r="H51" s="1" t="str" cm="1">
        <f t="array" ref="H51">_FV(groupedTable[[#This Row],[TechSkills]],"Category")</f>
        <v>Data Persistence</v>
      </c>
      <c r="I51" s="1" t="str" cm="1">
        <f t="array" ref="I51">_FV(groupedTable[[#This Row],[TechSkills]],"Spec")</f>
        <v>General</v>
      </c>
    </row>
    <row r="52" spans="3:9">
      <c r="C52" t="e" vm="50">
        <v>#VALUE!</v>
      </c>
      <c r="D52" s="1">
        <v>2</v>
      </c>
      <c r="E52" s="1">
        <v>3</v>
      </c>
      <c r="F52" s="1">
        <v>4</v>
      </c>
      <c r="G52" s="1">
        <v>5</v>
      </c>
      <c r="H52" s="1" t="str" cm="1">
        <f t="array" ref="H52">_FV(groupedTable[[#This Row],[TechSkills]],"Category")</f>
        <v>Data Persistence</v>
      </c>
      <c r="I52" s="1" t="str" cm="1">
        <f t="array" ref="I52">_FV(groupedTable[[#This Row],[TechSkills]],"Spec")</f>
        <v>General</v>
      </c>
    </row>
    <row r="53" spans="3:9">
      <c r="C53" t="e" vm="51">
        <v>#VALUE!</v>
      </c>
      <c r="D53" s="1">
        <v>2</v>
      </c>
      <c r="E53" s="1">
        <v>3</v>
      </c>
      <c r="F53" s="1">
        <v>4</v>
      </c>
      <c r="G53" s="1">
        <v>5</v>
      </c>
      <c r="H53" s="1" t="str" cm="1">
        <f t="array" ref="H53">_FV(groupedTable[[#This Row],[TechSkills]],"Category")</f>
        <v>Data Persistence</v>
      </c>
      <c r="I53" s="1" t="str" cm="1">
        <f t="array" ref="I53">_FV(groupedTable[[#This Row],[TechSkills]],"Spec")</f>
        <v>General</v>
      </c>
    </row>
    <row r="54" spans="3:9">
      <c r="C54" t="e" vm="52">
        <v>#VALUE!</v>
      </c>
      <c r="D54" s="1">
        <v>1</v>
      </c>
      <c r="E54" s="1">
        <v>2</v>
      </c>
      <c r="F54" s="1">
        <v>3</v>
      </c>
      <c r="G54" s="1">
        <v>4</v>
      </c>
      <c r="H54" s="1" t="str" cm="1">
        <f t="array" ref="H54">_FV(groupedTable[[#This Row],[TechSkills]],"Category")</f>
        <v>Data Persistence</v>
      </c>
      <c r="I54" s="1" t="str" cm="1">
        <f t="array" ref="I54">_FV(groupedTable[[#This Row],[TechSkills]],"Spec")</f>
        <v>General</v>
      </c>
    </row>
    <row r="55" spans="3:9">
      <c r="C55" t="e" vm="53">
        <v>#VALUE!</v>
      </c>
      <c r="D55" s="1">
        <v>2</v>
      </c>
      <c r="E55" s="1">
        <v>3</v>
      </c>
      <c r="F55" s="1">
        <v>4</v>
      </c>
      <c r="G55" s="1">
        <v>5</v>
      </c>
      <c r="H55" s="1" t="str" cm="1">
        <f t="array" ref="H55">_FV(groupedTable[[#This Row],[TechSkills]],"Category")</f>
        <v>Data Persistence</v>
      </c>
      <c r="I55" s="1" t="str" cm="1">
        <f t="array" ref="I55">_FV(groupedTable[[#This Row],[TechSkills]],"Spec")</f>
        <v>General</v>
      </c>
    </row>
    <row r="56" spans="3:9">
      <c r="C56" t="e" vm="54">
        <v>#VALUE!</v>
      </c>
      <c r="D56" s="1">
        <v>2</v>
      </c>
      <c r="E56" s="1">
        <v>3</v>
      </c>
      <c r="F56" s="1">
        <v>4</v>
      </c>
      <c r="G56" s="1">
        <v>5</v>
      </c>
      <c r="H56" s="1" t="str" cm="1">
        <f t="array" ref="H56">_FV(groupedTable[[#This Row],[TechSkills]],"Category")</f>
        <v>DevOps</v>
      </c>
      <c r="I56" s="1" t="str" cm="1">
        <f t="array" ref="I56">_FV(groupedTable[[#This Row],[TechSkills]],"Spec")</f>
        <v>General</v>
      </c>
    </row>
    <row r="57" spans="3:9">
      <c r="C57" t="e" vm="55">
        <v>#VALUE!</v>
      </c>
      <c r="D57" s="1" t="s">
        <v>3</v>
      </c>
      <c r="E57" s="1">
        <v>1</v>
      </c>
      <c r="F57" s="1">
        <v>2</v>
      </c>
      <c r="G57" s="1">
        <v>3</v>
      </c>
      <c r="H57" s="1" t="str" cm="1">
        <f t="array" ref="H57">_FV(groupedTable[[#This Row],[TechSkills]],"Category")</f>
        <v>DevOps</v>
      </c>
      <c r="I57" s="1" t="str" cm="1">
        <f t="array" ref="I57">_FV(groupedTable[[#This Row],[TechSkills]],"Spec")</f>
        <v>General</v>
      </c>
    </row>
    <row r="58" spans="3:9">
      <c r="C58" t="e" vm="56">
        <v>#VALUE!</v>
      </c>
      <c r="D58" s="1">
        <v>3</v>
      </c>
      <c r="E58" s="1">
        <v>4</v>
      </c>
      <c r="F58" s="1">
        <v>4</v>
      </c>
      <c r="G58" s="1">
        <v>4</v>
      </c>
      <c r="H58" s="1" t="str" cm="1">
        <f t="array" ref="H58">_FV(groupedTable[[#This Row],[TechSkills]],"Category")</f>
        <v>DevOps</v>
      </c>
      <c r="I58" s="1" t="str" cm="1">
        <f t="array" ref="I58">_FV(groupedTable[[#This Row],[TechSkills]],"Spec")</f>
        <v>General</v>
      </c>
    </row>
    <row r="59" spans="3:9">
      <c r="C59" t="e" vm="57">
        <v>#VALUE!</v>
      </c>
      <c r="D59" s="1">
        <v>1</v>
      </c>
      <c r="E59" s="1">
        <v>2</v>
      </c>
      <c r="F59" s="1">
        <v>3</v>
      </c>
      <c r="G59" s="1">
        <v>4</v>
      </c>
      <c r="H59" s="1" t="str" cm="1">
        <f t="array" ref="H59">_FV(groupedTable[[#This Row],[TechSkills]],"Category")</f>
        <v>DevOps</v>
      </c>
      <c r="I59" s="1" t="str" cm="1">
        <f t="array" ref="I59">_FV(groupedTable[[#This Row],[TechSkills]],"Spec")</f>
        <v>General</v>
      </c>
    </row>
    <row r="60" spans="3:9">
      <c r="C60" t="e" vm="58">
        <v>#VALUE!</v>
      </c>
      <c r="D60" s="1">
        <v>1</v>
      </c>
      <c r="E60" s="1">
        <v>1</v>
      </c>
      <c r="F60" s="1">
        <v>2</v>
      </c>
      <c r="G60" s="1">
        <v>3</v>
      </c>
      <c r="H60" s="1" t="str" cm="1">
        <f t="array" ref="H60">_FV(groupedTable[[#This Row],[TechSkills]],"Category")</f>
        <v>DevOps</v>
      </c>
      <c r="I60" s="1" t="str" cm="1">
        <f t="array" ref="I60">_FV(groupedTable[[#This Row],[TechSkills]],"Spec")</f>
        <v>General</v>
      </c>
    </row>
    <row r="61" spans="3:9">
      <c r="C61" t="e" vm="59">
        <v>#VALUE!</v>
      </c>
      <c r="D61" s="1" t="s">
        <v>3</v>
      </c>
      <c r="E61" s="1">
        <v>1</v>
      </c>
      <c r="F61" s="1">
        <v>2</v>
      </c>
      <c r="G61" s="1">
        <v>3</v>
      </c>
      <c r="H61" s="1" t="str" cm="1">
        <f t="array" ref="H61">_FV(groupedTable[[#This Row],[TechSkills]],"Category")</f>
        <v>DevOps</v>
      </c>
      <c r="I61" s="1" t="str" cm="1">
        <f t="array" ref="I61">_FV(groupedTable[[#This Row],[TechSkills]],"Spec")</f>
        <v>General</v>
      </c>
    </row>
    <row r="62" spans="3:9">
      <c r="C62" t="e" vm="60">
        <v>#VALUE!</v>
      </c>
      <c r="D62" s="1">
        <v>2</v>
      </c>
      <c r="E62" s="1">
        <v>3</v>
      </c>
      <c r="F62" s="1">
        <v>3</v>
      </c>
      <c r="G62" s="1">
        <v>4</v>
      </c>
      <c r="H62" s="1" t="str" cm="1">
        <f t="array" ref="H62">_FV(groupedTable[[#This Row],[TechSkills]],"Category")</f>
        <v>Networks</v>
      </c>
      <c r="I62" s="1" t="str" cm="1">
        <f t="array" ref="I62">_FV(groupedTable[[#This Row],[TechSkills]],"Spec")</f>
        <v>General</v>
      </c>
    </row>
    <row r="63" spans="3:9">
      <c r="C63" t="e" vm="61">
        <v>#VALUE!</v>
      </c>
      <c r="D63" s="1">
        <v>2</v>
      </c>
      <c r="E63" s="1">
        <v>3</v>
      </c>
      <c r="F63" s="1">
        <v>3</v>
      </c>
      <c r="G63" s="1">
        <v>4</v>
      </c>
      <c r="H63" s="1" t="str" cm="1">
        <f t="array" ref="H63">_FV(groupedTable[[#This Row],[TechSkills]],"Category")</f>
        <v>Networks</v>
      </c>
      <c r="I63" s="1" t="str" cm="1">
        <f t="array" ref="I63">_FV(groupedTable[[#This Row],[TechSkills]],"Spec")</f>
        <v>General</v>
      </c>
    </row>
    <row r="64" spans="3:9">
      <c r="C64" t="e" vm="62">
        <v>#VALUE!</v>
      </c>
      <c r="D64" s="1">
        <v>1</v>
      </c>
      <c r="E64" s="1">
        <v>2</v>
      </c>
      <c r="F64" s="1">
        <v>3</v>
      </c>
      <c r="G64" s="1">
        <v>4</v>
      </c>
      <c r="H64" s="1" t="str" cm="1">
        <f t="array" ref="H64">_FV(groupedTable[[#This Row],[TechSkills]],"Category")</f>
        <v>Networks</v>
      </c>
      <c r="I64" s="1" t="str" cm="1">
        <f t="array" ref="I64">_FV(groupedTable[[#This Row],[TechSkills]],"Spec")</f>
        <v>General</v>
      </c>
    </row>
    <row r="65" spans="3:9">
      <c r="C65" t="e" vm="63">
        <v>#VALUE!</v>
      </c>
      <c r="D65" s="1">
        <v>1</v>
      </c>
      <c r="E65" s="1">
        <v>2</v>
      </c>
      <c r="F65" s="1">
        <v>3</v>
      </c>
      <c r="G65" s="1">
        <v>4</v>
      </c>
      <c r="H65" s="1" t="str" cm="1">
        <f t="array" ref="H65">_FV(groupedTable[[#This Row],[TechSkills]],"Category")</f>
        <v>Networks</v>
      </c>
      <c r="I65" s="1" t="str" cm="1">
        <f t="array" ref="I65">_FV(groupedTable[[#This Row],[TechSkills]],"Spec")</f>
        <v>General</v>
      </c>
    </row>
    <row r="66" spans="3:9">
      <c r="C66" t="e" vm="64">
        <v>#VALUE!</v>
      </c>
      <c r="D66" s="1">
        <v>2</v>
      </c>
      <c r="E66" s="1">
        <v>3</v>
      </c>
      <c r="F66" s="1">
        <v>4</v>
      </c>
      <c r="G66" s="1">
        <v>5</v>
      </c>
      <c r="H66" s="1" t="str" cm="1">
        <f t="array" ref="H66">_FV(groupedTable[[#This Row],[TechSkills]],"Category")</f>
        <v>Networks</v>
      </c>
      <c r="I66" s="1" t="str" cm="1">
        <f t="array" ref="I66">_FV(groupedTable[[#This Row],[TechSkills]],"Spec")</f>
        <v>General</v>
      </c>
    </row>
    <row r="67" spans="3:9">
      <c r="C67" t="e" vm="65">
        <v>#VALUE!</v>
      </c>
      <c r="D67" s="1">
        <v>1</v>
      </c>
      <c r="E67" s="1">
        <v>2</v>
      </c>
      <c r="F67" s="1">
        <v>3</v>
      </c>
      <c r="G67" s="1">
        <v>4</v>
      </c>
      <c r="H67" s="1" t="str" cm="1">
        <f t="array" ref="H67">_FV(groupedTable[[#This Row],[TechSkills]],"Category")</f>
        <v>Networks</v>
      </c>
      <c r="I67" s="1" t="str" cm="1">
        <f t="array" ref="I67">_FV(groupedTable[[#This Row],[TechSkills]],"Spec")</f>
        <v>General</v>
      </c>
    </row>
    <row r="68" spans="3:9">
      <c r="C68" t="e" vm="66">
        <v>#VALUE!</v>
      </c>
      <c r="D68" s="1">
        <v>1</v>
      </c>
      <c r="E68" s="1">
        <v>2</v>
      </c>
      <c r="F68" s="1">
        <v>3</v>
      </c>
      <c r="G68" s="1">
        <v>4</v>
      </c>
      <c r="H68" s="1" t="str" cm="1">
        <f t="array" ref="H68">_FV(groupedTable[[#This Row],[TechSkills]],"Category")</f>
        <v>Networks</v>
      </c>
      <c r="I68" s="1" t="str" cm="1">
        <f t="array" ref="I68">_FV(groupedTable[[#This Row],[TechSkills]],"Spec")</f>
        <v>General</v>
      </c>
    </row>
    <row r="69" spans="3:9">
      <c r="C69" t="e" vm="67">
        <v>#VALUE!</v>
      </c>
      <c r="D69" s="1">
        <v>1</v>
      </c>
      <c r="E69" s="1">
        <v>2</v>
      </c>
      <c r="F69" s="1">
        <v>3</v>
      </c>
      <c r="G69" s="1">
        <v>4</v>
      </c>
      <c r="H69" s="1" t="str" cm="1">
        <f t="array" ref="H69">_FV(groupedTable[[#This Row],[TechSkills]],"Category")</f>
        <v>Networks</v>
      </c>
      <c r="I69" s="1" t="str" cm="1">
        <f t="array" ref="I69">_FV(groupedTable[[#This Row],[TechSkills]],"Spec")</f>
        <v>General</v>
      </c>
    </row>
    <row r="70" spans="3:9">
      <c r="C70" t="e" vm="68">
        <v>#VALUE!</v>
      </c>
      <c r="D70" s="1">
        <v>3</v>
      </c>
      <c r="E70" s="1">
        <v>3</v>
      </c>
      <c r="F70" s="1">
        <v>4</v>
      </c>
      <c r="G70" s="1">
        <v>4</v>
      </c>
      <c r="H70" s="1" t="str" cm="1">
        <f t="array" ref="H70">_FV(groupedTable[[#This Row],[TechSkills]],"Category")</f>
        <v>Patterns &amp; Practices</v>
      </c>
      <c r="I70" s="1" t="str" cm="1">
        <f t="array" ref="I70">_FV(groupedTable[[#This Row],[TechSkills]],"Spec")</f>
        <v>General</v>
      </c>
    </row>
    <row r="71" spans="3:9">
      <c r="C71" t="e" vm="69">
        <v>#VALUE!</v>
      </c>
      <c r="D71" s="1">
        <v>2</v>
      </c>
      <c r="E71" s="1">
        <v>3</v>
      </c>
      <c r="F71" s="1">
        <v>4</v>
      </c>
      <c r="G71" s="1">
        <v>4</v>
      </c>
      <c r="H71" s="1" t="str" cm="1">
        <f t="array" ref="H71">_FV(groupedTable[[#This Row],[TechSkills]],"Category")</f>
        <v>Patterns &amp; Practices</v>
      </c>
      <c r="I71" s="1" t="str" cm="1">
        <f t="array" ref="I71">_FV(groupedTable[[#This Row],[TechSkills]],"Spec")</f>
        <v>General</v>
      </c>
    </row>
    <row r="72" spans="3:9">
      <c r="C72" t="e" vm="70">
        <v>#VALUE!</v>
      </c>
      <c r="D72" s="1">
        <v>1</v>
      </c>
      <c r="E72" s="1">
        <v>2</v>
      </c>
      <c r="F72" s="1">
        <v>3</v>
      </c>
      <c r="G72" s="1">
        <v>4</v>
      </c>
      <c r="H72" s="1" t="str" cm="1">
        <f t="array" ref="H72">_FV(groupedTable[[#This Row],[TechSkills]],"Category")</f>
        <v>Patterns &amp; Practices</v>
      </c>
      <c r="I72" s="1" t="str" cm="1">
        <f t="array" ref="I72">_FV(groupedTable[[#This Row],[TechSkills]],"Spec")</f>
        <v>General</v>
      </c>
    </row>
    <row r="73" spans="3:9">
      <c r="C73" t="e" vm="71">
        <v>#VALUE!</v>
      </c>
      <c r="D73" s="1">
        <v>2</v>
      </c>
      <c r="E73" s="1">
        <v>3</v>
      </c>
      <c r="F73" s="1">
        <v>4</v>
      </c>
      <c r="G73" s="1">
        <v>5</v>
      </c>
      <c r="H73" s="1" t="str" cm="1">
        <f t="array" ref="H73">_FV(groupedTable[[#This Row],[TechSkills]],"Category")</f>
        <v>Patterns &amp; Practices</v>
      </c>
      <c r="I73" s="1" t="str" cm="1">
        <f t="array" ref="I73">_FV(groupedTable[[#This Row],[TechSkills]],"Spec")</f>
        <v>General</v>
      </c>
    </row>
    <row r="74" spans="3:9">
      <c r="C74" t="e" vm="72">
        <v>#VALUE!</v>
      </c>
      <c r="D74" s="1">
        <v>2</v>
      </c>
      <c r="E74" s="1">
        <v>3</v>
      </c>
      <c r="F74" s="1">
        <v>4</v>
      </c>
      <c r="G74" s="1">
        <v>5</v>
      </c>
      <c r="H74" s="1" t="str" cm="1">
        <f t="array" ref="H74">_FV(groupedTable[[#This Row],[TechSkills]],"Category")</f>
        <v>Patterns &amp; Practices</v>
      </c>
      <c r="I74" s="1" t="str" cm="1">
        <f t="array" ref="I74">_FV(groupedTable[[#This Row],[TechSkills]],"Spec")</f>
        <v>General</v>
      </c>
    </row>
    <row r="75" spans="3:9">
      <c r="C75" t="e" vm="73">
        <v>#VALUE!</v>
      </c>
      <c r="D75" s="1">
        <v>2</v>
      </c>
      <c r="E75" s="1">
        <v>3</v>
      </c>
      <c r="F75" s="1">
        <v>4</v>
      </c>
      <c r="G75" s="1">
        <v>5</v>
      </c>
      <c r="H75" s="1" t="str" cm="1">
        <f t="array" ref="H75">_FV(groupedTable[[#This Row],[TechSkills]],"Category")</f>
        <v>Patterns &amp; Practices</v>
      </c>
      <c r="I75" s="1" t="str" cm="1">
        <f t="array" ref="I75">_FV(groupedTable[[#This Row],[TechSkills]],"Spec")</f>
        <v>General</v>
      </c>
    </row>
    <row r="76" spans="3:9">
      <c r="C76" t="e" vm="74">
        <v>#VALUE!</v>
      </c>
      <c r="D76" s="1">
        <v>3</v>
      </c>
      <c r="E76" s="1">
        <v>3</v>
      </c>
      <c r="F76" s="1">
        <v>4</v>
      </c>
      <c r="G76" s="1">
        <v>4</v>
      </c>
      <c r="H76" s="1" t="str" cm="1">
        <f t="array" ref="H76">_FV(groupedTable[[#This Row],[TechSkills]],"Category")</f>
        <v>Patterns &amp; Practices</v>
      </c>
      <c r="I76" s="1" t="str" cm="1">
        <f t="array" ref="I76">_FV(groupedTable[[#This Row],[TechSkills]],"Spec")</f>
        <v>General</v>
      </c>
    </row>
    <row r="77" spans="3:9">
      <c r="C77" t="e" vm="75">
        <v>#VALUE!</v>
      </c>
      <c r="D77" s="1" t="s">
        <v>3</v>
      </c>
      <c r="E77" s="1">
        <v>1</v>
      </c>
      <c r="F77" s="1">
        <v>3</v>
      </c>
      <c r="G77" s="1">
        <v>4</v>
      </c>
      <c r="H77" s="1" t="str" cm="1">
        <f t="array" ref="H77">_FV(groupedTable[[#This Row],[TechSkills]],"Category")</f>
        <v>Patterns &amp; Practices</v>
      </c>
      <c r="I77" s="1" t="str" cm="1">
        <f t="array" ref="I77">_FV(groupedTable[[#This Row],[TechSkills]],"Spec")</f>
        <v>General</v>
      </c>
    </row>
    <row r="78" spans="3:9">
      <c r="C78" t="e" vm="76">
        <v>#VALUE!</v>
      </c>
      <c r="D78" s="1">
        <v>2</v>
      </c>
      <c r="E78" s="1">
        <v>3</v>
      </c>
      <c r="F78" s="1">
        <v>4</v>
      </c>
      <c r="G78" s="1">
        <v>4</v>
      </c>
      <c r="H78" s="1" t="str" cm="1">
        <f t="array" ref="H78">_FV(groupedTable[[#This Row],[TechSkills]],"Category")</f>
        <v>Patterns &amp; Practices</v>
      </c>
      <c r="I78" s="1" t="str" cm="1">
        <f t="array" ref="I78">_FV(groupedTable[[#This Row],[TechSkills]],"Spec")</f>
        <v>General</v>
      </c>
    </row>
    <row r="79" spans="3:9">
      <c r="C79" t="e" vm="77">
        <v>#VALUE!</v>
      </c>
      <c r="D79" s="1">
        <v>2</v>
      </c>
      <c r="E79" s="1">
        <v>3</v>
      </c>
      <c r="F79" s="1">
        <v>4</v>
      </c>
      <c r="G79" s="1">
        <v>4</v>
      </c>
      <c r="H79" s="1" t="str" cm="1">
        <f t="array" ref="H79">_FV(groupedTable[[#This Row],[TechSkills]],"Category")</f>
        <v>Patterns &amp; Practices</v>
      </c>
      <c r="I79" s="1" t="str" cm="1">
        <f t="array" ref="I79">_FV(groupedTable[[#This Row],[TechSkills]],"Spec")</f>
        <v>General</v>
      </c>
    </row>
    <row r="80" spans="3:9">
      <c r="C80" t="e" vm="78">
        <v>#VALUE!</v>
      </c>
      <c r="D80" s="1">
        <v>2</v>
      </c>
      <c r="E80" s="1">
        <v>3</v>
      </c>
      <c r="F80" s="1">
        <v>4</v>
      </c>
      <c r="G80" s="1">
        <v>4</v>
      </c>
      <c r="H80" s="1" t="str" cm="1">
        <f t="array" ref="H80">_FV(groupedTable[[#This Row],[TechSkills]],"Category")</f>
        <v>Patterns &amp; Practices</v>
      </c>
      <c r="I80" s="1" t="str" cm="1">
        <f t="array" ref="I80">_FV(groupedTable[[#This Row],[TechSkills]],"Spec")</f>
        <v>General</v>
      </c>
    </row>
    <row r="81" spans="3:9">
      <c r="C81" t="e" vm="79">
        <v>#VALUE!</v>
      </c>
      <c r="D81" s="1">
        <v>2</v>
      </c>
      <c r="E81" s="1">
        <v>3</v>
      </c>
      <c r="F81" s="1">
        <v>4</v>
      </c>
      <c r="G81" s="1">
        <v>4</v>
      </c>
      <c r="H81" s="1" t="str" cm="1">
        <f t="array" ref="H81">_FV(groupedTable[[#This Row],[TechSkills]],"Category")</f>
        <v>Patterns &amp; Practices</v>
      </c>
      <c r="I81" s="1" t="str" cm="1">
        <f t="array" ref="I81">_FV(groupedTable[[#This Row],[TechSkills]],"Spec")</f>
        <v>General</v>
      </c>
    </row>
    <row r="82" spans="3:9">
      <c r="C82" t="e" vm="80">
        <v>#VALUE!</v>
      </c>
      <c r="D82" s="1">
        <v>1</v>
      </c>
      <c r="E82" s="1">
        <v>2</v>
      </c>
      <c r="F82" s="1">
        <v>3</v>
      </c>
      <c r="G82" s="1">
        <v>4</v>
      </c>
      <c r="H82" s="1" t="str" cm="1">
        <f t="array" ref="H82">_FV(groupedTable[[#This Row],[TechSkills]],"Category")</f>
        <v>Patterns &amp; Practices</v>
      </c>
      <c r="I82" s="1" t="str" cm="1">
        <f t="array" ref="I82">_FV(groupedTable[[#This Row],[TechSkills]],"Spec")</f>
        <v>General</v>
      </c>
    </row>
    <row r="83" spans="3:9">
      <c r="C83" t="e" vm="81">
        <v>#VALUE!</v>
      </c>
      <c r="D83" s="1">
        <v>2</v>
      </c>
      <c r="E83" s="1">
        <v>3</v>
      </c>
      <c r="F83" s="1">
        <v>4</v>
      </c>
      <c r="G83" s="1">
        <v>4</v>
      </c>
      <c r="H83" s="1" t="str" cm="1">
        <f t="array" ref="H83">_FV(groupedTable[[#This Row],[TechSkills]],"Category")</f>
        <v>Patterns &amp; Practices</v>
      </c>
      <c r="I83" s="1" t="str" cm="1">
        <f t="array" ref="I83">_FV(groupedTable[[#This Row],[TechSkills]],"Spec")</f>
        <v>General</v>
      </c>
    </row>
    <row r="84" spans="3:9">
      <c r="C84" t="e" vm="82">
        <v>#VALUE!</v>
      </c>
      <c r="D84" s="1">
        <v>3</v>
      </c>
      <c r="E84" s="1">
        <v>4</v>
      </c>
      <c r="F84" s="1">
        <v>4</v>
      </c>
      <c r="G84" s="1">
        <v>4</v>
      </c>
      <c r="H84" s="1" t="str" cm="1">
        <f t="array" ref="H84">_FV(groupedTable[[#This Row],[TechSkills]],"Category")</f>
        <v>Security</v>
      </c>
      <c r="I84" s="1" t="str" cm="1">
        <f t="array" ref="I84">_FV(groupedTable[[#This Row],[TechSkills]],"Spec")</f>
        <v>General</v>
      </c>
    </row>
    <row r="85" spans="3:9">
      <c r="C85" t="e" vm="83">
        <v>#VALUE!</v>
      </c>
      <c r="D85" s="1">
        <v>1</v>
      </c>
      <c r="E85" s="1">
        <v>2</v>
      </c>
      <c r="F85" s="1">
        <v>3</v>
      </c>
      <c r="G85" s="1">
        <v>4</v>
      </c>
      <c r="H85" s="1" t="str" cm="1">
        <f t="array" ref="H85">_FV(groupedTable[[#This Row],[TechSkills]],"Category")</f>
        <v>Security</v>
      </c>
      <c r="I85" s="1" t="str" cm="1">
        <f t="array" ref="I85">_FV(groupedTable[[#This Row],[TechSkills]],"Spec")</f>
        <v>General</v>
      </c>
    </row>
    <row r="86" spans="3:9">
      <c r="C86" t="e" vm="84">
        <v>#VALUE!</v>
      </c>
      <c r="D86" s="1">
        <v>1</v>
      </c>
      <c r="E86" s="1">
        <v>2</v>
      </c>
      <c r="F86" s="1">
        <v>3</v>
      </c>
      <c r="G86" s="1">
        <v>4</v>
      </c>
      <c r="H86" s="1" t="str" cm="1">
        <f t="array" ref="H86">_FV(groupedTable[[#This Row],[TechSkills]],"Category")</f>
        <v>Security</v>
      </c>
      <c r="I86" s="1" t="str" cm="1">
        <f t="array" ref="I86">_FV(groupedTable[[#This Row],[TechSkills]],"Spec")</f>
        <v>General</v>
      </c>
    </row>
    <row r="87" spans="3:9">
      <c r="C87" t="e" vm="85">
        <v>#VALUE!</v>
      </c>
      <c r="D87" s="1">
        <v>2</v>
      </c>
      <c r="E87" s="1">
        <v>3</v>
      </c>
      <c r="F87" s="1">
        <v>4</v>
      </c>
      <c r="G87" s="1">
        <v>4</v>
      </c>
      <c r="H87" s="1" t="str" cm="1">
        <f t="array" ref="H87">_FV(groupedTable[[#This Row],[TechSkills]],"Category")</f>
        <v>Security</v>
      </c>
      <c r="I87" s="1" t="str" cm="1">
        <f t="array" ref="I87">_FV(groupedTable[[#This Row],[TechSkills]],"Spec")</f>
        <v>Web</v>
      </c>
    </row>
    <row r="88" spans="3:9">
      <c r="C88" t="e" vm="86">
        <v>#VALUE!</v>
      </c>
      <c r="D88" s="1" t="s">
        <v>3</v>
      </c>
      <c r="E88" s="1">
        <v>1</v>
      </c>
      <c r="F88" s="1">
        <v>3</v>
      </c>
      <c r="G88" s="1">
        <v>5</v>
      </c>
      <c r="H88" s="1" t="str" cm="1">
        <f t="array" ref="H88">_FV(groupedTable[[#This Row],[TechSkills]],"Category")</f>
        <v>Security</v>
      </c>
      <c r="I88" s="1" t="str" cm="1">
        <f t="array" ref="I88">_FV(groupedTable[[#This Row],[TechSkills]],"Spec")</f>
        <v>Web</v>
      </c>
    </row>
    <row r="89" spans="3:9">
      <c r="C89" t="e" vm="87">
        <v>#VALUE!</v>
      </c>
      <c r="D89" s="1">
        <v>1</v>
      </c>
      <c r="E89" s="1">
        <v>2</v>
      </c>
      <c r="F89" s="1">
        <v>3</v>
      </c>
      <c r="G89" s="1">
        <v>4</v>
      </c>
      <c r="H89" s="1" t="str" cm="1">
        <f t="array" ref="H89">_FV(groupedTable[[#This Row],[TechSkills]],"Category")</f>
        <v>Security</v>
      </c>
      <c r="I89" s="1" t="str" cm="1">
        <f t="array" ref="I89">_FV(groupedTable[[#This Row],[TechSkills]],"Spec")</f>
        <v>Web</v>
      </c>
    </row>
    <row r="90" spans="3:9">
      <c r="C90" t="e" vm="88">
        <v>#VALUE!</v>
      </c>
      <c r="D90" s="1">
        <v>2</v>
      </c>
      <c r="E90" s="1">
        <v>2</v>
      </c>
      <c r="F90" s="1">
        <v>4</v>
      </c>
      <c r="G90" s="1">
        <v>4</v>
      </c>
      <c r="H90" s="1" t="str" cm="1">
        <f t="array" ref="H90">_FV(groupedTable[[#This Row],[TechSkills]],"Category")</f>
        <v>Security</v>
      </c>
      <c r="I90" s="1" t="str" cm="1">
        <f t="array" ref="I90">_FV(groupedTable[[#This Row],[TechSkills]],"Spec")</f>
        <v>General</v>
      </c>
    </row>
    <row r="91" spans="3:9">
      <c r="C91" t="e" vm="89">
        <v>#VALUE!</v>
      </c>
      <c r="D91" s="1">
        <v>1</v>
      </c>
      <c r="E91" s="1">
        <v>1</v>
      </c>
      <c r="F91" s="1">
        <v>2</v>
      </c>
      <c r="G91" s="1">
        <v>2</v>
      </c>
      <c r="H91" s="1" t="str" cm="1">
        <f t="array" ref="H91">_FV(groupedTable[[#This Row],[TechSkills]],"Category")</f>
        <v>Security</v>
      </c>
      <c r="I91" s="1" t="str" cm="1">
        <f t="array" ref="I91">_FV(groupedTable[[#This Row],[TechSkills]],"Spec")</f>
        <v>General</v>
      </c>
    </row>
    <row r="92" spans="3:9">
      <c r="C92" t="e" vm="90">
        <v>#VALUE!</v>
      </c>
      <c r="D92" s="1">
        <v>2</v>
      </c>
      <c r="E92" s="1">
        <v>3</v>
      </c>
      <c r="F92" s="1">
        <v>4</v>
      </c>
      <c r="G92" s="1">
        <v>4</v>
      </c>
      <c r="H92" s="1" t="str" cm="1">
        <f t="array" ref="H92">_FV(groupedTable[[#This Row],[TechSkills]],"Category")</f>
        <v>Security</v>
      </c>
      <c r="I92" s="1" t="str" cm="1">
        <f t="array" ref="I92">_FV(groupedTable[[#This Row],[TechSkills]],"Spec")</f>
        <v>General</v>
      </c>
    </row>
    <row r="93" spans="3:9">
      <c r="C93" t="e" vm="91">
        <v>#VALUE!</v>
      </c>
      <c r="D93" s="1" t="s">
        <v>3</v>
      </c>
      <c r="E93" s="1" t="s">
        <v>3</v>
      </c>
      <c r="F93" s="1">
        <v>1</v>
      </c>
      <c r="G93" s="1">
        <v>3</v>
      </c>
      <c r="H93" s="1" t="str" cm="1">
        <f t="array" ref="H93">_FV(groupedTable[[#This Row],[TechSkills]],"Category")</f>
        <v>Security</v>
      </c>
      <c r="I93" s="1" t="str" cm="1">
        <f t="array" ref="I93">_FV(groupedTable[[#This Row],[TechSkills]],"Spec")</f>
        <v>General</v>
      </c>
    </row>
    <row r="94" spans="3:9">
      <c r="C94" t="e" vm="92">
        <v>#VALUE!</v>
      </c>
      <c r="D94" s="1">
        <v>2</v>
      </c>
      <c r="E94" s="1">
        <v>3</v>
      </c>
      <c r="F94" s="1">
        <v>4</v>
      </c>
      <c r="G94" s="1">
        <v>5</v>
      </c>
      <c r="H94" s="1" t="str" cm="1">
        <f t="array" ref="H94">_FV(groupedTable[[#This Row],[TechSkills]],"Category")</f>
        <v>SDLC</v>
      </c>
      <c r="I94" s="1" t="str" cm="1">
        <f t="array" ref="I94">_FV(groupedTable[[#This Row],[TechSkills]],"Spec")</f>
        <v>General</v>
      </c>
    </row>
    <row r="95" spans="3:9">
      <c r="C95" t="e" vm="93">
        <v>#VALUE!</v>
      </c>
      <c r="D95" s="1">
        <v>1</v>
      </c>
      <c r="E95" s="1">
        <v>2</v>
      </c>
      <c r="F95" s="1">
        <v>4</v>
      </c>
      <c r="G95" s="1">
        <v>4</v>
      </c>
      <c r="H95" s="1" t="str" cm="1">
        <f t="array" ref="H95">_FV(groupedTable[[#This Row],[TechSkills]],"Category")</f>
        <v>SDLC</v>
      </c>
      <c r="I95" s="1" t="str" cm="1">
        <f t="array" ref="I95">_FV(groupedTable[[#This Row],[TechSkills]],"Spec")</f>
        <v>General</v>
      </c>
    </row>
    <row r="96" spans="3:9">
      <c r="C96" t="e" vm="94">
        <v>#VALUE!</v>
      </c>
      <c r="D96" s="1" t="s">
        <v>3</v>
      </c>
      <c r="E96" s="1" t="s">
        <v>3</v>
      </c>
      <c r="F96" s="1">
        <v>1</v>
      </c>
      <c r="G96" s="1">
        <v>2</v>
      </c>
      <c r="H96" s="1" t="str" cm="1">
        <f t="array" ref="H96">_FV(groupedTable[[#This Row],[TechSkills]],"Category")</f>
        <v>SDLC</v>
      </c>
      <c r="I96" s="1" t="str" cm="1">
        <f t="array" ref="I96">_FV(groupedTable[[#This Row],[TechSkills]],"Spec")</f>
        <v>General</v>
      </c>
    </row>
    <row r="97" spans="3:9">
      <c r="C97" t="e" vm="95">
        <v>#VALUE!</v>
      </c>
      <c r="D97" s="1">
        <v>2</v>
      </c>
      <c r="E97" s="1">
        <v>3</v>
      </c>
      <c r="F97" s="1">
        <v>4</v>
      </c>
      <c r="G97" s="1">
        <v>5</v>
      </c>
      <c r="H97" s="1" t="str" cm="1">
        <f t="array" ref="H97">_FV(groupedTable[[#This Row],[TechSkills]],"Category")</f>
        <v>SDLC</v>
      </c>
      <c r="I97" s="1" t="str" cm="1">
        <f t="array" ref="I97">_FV(groupedTable[[#This Row],[TechSkills]],"Spec")</f>
        <v>General</v>
      </c>
    </row>
    <row r="98" spans="3:9">
      <c r="C98" t="e" vm="96">
        <v>#VALUE!</v>
      </c>
      <c r="D98" s="1">
        <v>1</v>
      </c>
      <c r="E98" s="1">
        <v>2</v>
      </c>
      <c r="F98" s="1">
        <v>3</v>
      </c>
      <c r="G98" s="1">
        <v>3</v>
      </c>
      <c r="H98" s="1" t="str" cm="1">
        <f t="array" ref="H98">_FV(groupedTable[[#This Row],[TechSkills]],"Category")</f>
        <v>AI/LLM</v>
      </c>
      <c r="I98" s="1" t="str" cm="1">
        <f t="array" ref="I98">_FV(groupedTable[[#This Row],[TechSkills]],"Spec")</f>
        <v>General</v>
      </c>
    </row>
    <row r="99" spans="3:9">
      <c r="C99" t="e" vm="97">
        <v>#VALUE!</v>
      </c>
      <c r="D99" s="1">
        <v>1</v>
      </c>
      <c r="E99" s="1">
        <v>2</v>
      </c>
      <c r="F99" s="1">
        <v>3</v>
      </c>
      <c r="G99" s="1">
        <v>3</v>
      </c>
      <c r="H99" s="1" t="str" cm="1">
        <f t="array" ref="H99">_FV(groupedTable[[#This Row],[TechSkills]],"Category")</f>
        <v>AI/LLM</v>
      </c>
      <c r="I99" s="1" t="str" cm="1">
        <f t="array" ref="I99">_FV(groupedTable[[#This Row],[TechSkills]],"Spec")</f>
        <v>General</v>
      </c>
    </row>
    <row r="100" spans="3:9">
      <c r="C100" t="e" vm="98">
        <v>#VALUE!</v>
      </c>
      <c r="D100" s="1">
        <v>1</v>
      </c>
      <c r="E100" s="1">
        <v>2</v>
      </c>
      <c r="F100" s="1">
        <v>3</v>
      </c>
      <c r="G100" s="1">
        <v>3</v>
      </c>
      <c r="H100" s="1" t="str" cm="1">
        <f t="array" ref="H100">_FV(groupedTable[[#This Row],[TechSkills]],"Category")</f>
        <v>AI/LLM</v>
      </c>
      <c r="I100" s="1" t="str" cm="1">
        <f t="array" ref="I100">_FV(groupedTable[[#This Row],[TechSkills]],"Spec")</f>
        <v>General</v>
      </c>
    </row>
    <row r="101" spans="3:9">
      <c r="C101" t="e" vm="99">
        <v>#VALUE!</v>
      </c>
      <c r="D101" s="1">
        <v>1</v>
      </c>
      <c r="E101" s="1">
        <v>2</v>
      </c>
      <c r="F101" s="1">
        <v>3</v>
      </c>
      <c r="G101" s="1">
        <v>3</v>
      </c>
      <c r="H101" s="1" t="str" cm="1">
        <f t="array" ref="H101">_FV(groupedTable[[#This Row],[TechSkills]],"Category")</f>
        <v>AI/LLM</v>
      </c>
      <c r="I101" s="1" t="str" cm="1">
        <f t="array" ref="I101">_FV(groupedTable[[#This Row],[TechSkills]],"Spec")</f>
        <v>General</v>
      </c>
    </row>
    <row r="102" spans="3:9">
      <c r="C102" t="e" vm="100">
        <v>#VALUE!</v>
      </c>
      <c r="D102" s="1">
        <v>1</v>
      </c>
      <c r="E102" s="1">
        <v>2</v>
      </c>
      <c r="F102" s="1">
        <v>3</v>
      </c>
      <c r="G102" s="1">
        <v>3</v>
      </c>
      <c r="H102" s="1" t="str" cm="1">
        <f t="array" ref="H102">_FV(groupedTable[[#This Row],[TechSkills]],"Category")</f>
        <v>AI/LLM</v>
      </c>
      <c r="I102" s="1" t="str" cm="1">
        <f t="array" ref="I102">_FV(groupedTable[[#This Row],[TechSkills]],"Spec")</f>
        <v>General</v>
      </c>
    </row>
    <row r="103" spans="3:9">
      <c r="C103" t="e" vm="101">
        <v>#VALUE!</v>
      </c>
      <c r="D103" s="1">
        <v>1</v>
      </c>
      <c r="E103" s="1">
        <v>2</v>
      </c>
      <c r="F103" s="1">
        <v>3</v>
      </c>
      <c r="G103" s="1">
        <v>3</v>
      </c>
      <c r="H103" s="1" t="str" cm="1">
        <f t="array" ref="H103">_FV(groupedTable[[#This Row],[TechSkills]],"Category")</f>
        <v>AI/LLM</v>
      </c>
      <c r="I103" s="1" t="str" cm="1">
        <f t="array" ref="I103">_FV(groupedTable[[#This Row],[TechSkills]],"Spec")</f>
        <v>General</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B30C-DCAF-4690-B2C0-016D059E9CEA}">
  <dimension ref="B2:B6"/>
  <sheetViews>
    <sheetView showGridLines="0" workbookViewId="0">
      <selection activeCell="B2" sqref="B2"/>
    </sheetView>
  </sheetViews>
  <sheetFormatPr defaultRowHeight="14.45"/>
  <cols>
    <col min="2" max="2" width="29" bestFit="1" customWidth="1"/>
  </cols>
  <sheetData>
    <row r="2" spans="2:2" ht="21">
      <c r="B2" s="2" t="s">
        <v>178</v>
      </c>
    </row>
    <row r="4" spans="2:2" ht="21">
      <c r="B4" s="2" t="s">
        <v>179</v>
      </c>
    </row>
    <row r="6" spans="2:2" ht="21">
      <c r="B6" s="2" t="s">
        <v>180</v>
      </c>
    </row>
  </sheetData>
  <hyperlinks>
    <hyperlink ref="B2" location="Desktop!A1" display="Desktop specialization" xr:uid="{0A7E45E2-E53D-4EC9-B320-26AE1385A334}"/>
    <hyperlink ref="B4" location="Web!A1" display="Web specialization" xr:uid="{054A91A0-D99D-496A-9699-2AF4DA40787D}"/>
    <hyperlink ref="B6" location="Mobile!A1" display="Mobile specialization" xr:uid="{B3B8AF4D-576D-42BD-8551-2C1FF997E44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0808-5C2B-4593-A952-31832E7B922F}">
  <dimension ref="B2:H83"/>
  <sheetViews>
    <sheetView topLeftCell="A35" workbookViewId="0">
      <selection activeCell="F23" sqref="F23"/>
    </sheetView>
  </sheetViews>
  <sheetFormatPr defaultRowHeight="14.45"/>
  <cols>
    <col min="2" max="2" width="9.140625" style="35"/>
    <col min="3" max="3" width="41.7109375" bestFit="1" customWidth="1"/>
    <col min="4" max="7" width="12.28515625" style="1" customWidth="1"/>
    <col min="8" max="8" width="18.85546875" style="1" bestFit="1" customWidth="1"/>
  </cols>
  <sheetData>
    <row r="2" spans="2:8">
      <c r="B2" s="81" t="s">
        <v>17</v>
      </c>
      <c r="C2" s="82" t="s">
        <v>177</v>
      </c>
      <c r="D2" s="91" t="s">
        <v>9</v>
      </c>
      <c r="E2" s="83" t="s">
        <v>11</v>
      </c>
      <c r="F2" s="83" t="s">
        <v>13</v>
      </c>
      <c r="G2" s="83" t="s">
        <v>15</v>
      </c>
      <c r="H2" s="83" t="s">
        <v>19</v>
      </c>
    </row>
    <row r="3" spans="2:8">
      <c r="B3" s="35" t="str" cm="1">
        <f t="array" ref="B3:H83">_xlfn._xlws.FILTER(INDEX(groupedTable[],_xlfn.SEQUENCE(ROWS(groupedTable[])),_xlfn.XMATCH(B2:H2,groupedTable[#Headers])),(groupedTable[Spec]="Mobile")+(groupedTable[Spec]="General"),"")</f>
        <v>ONE OF</v>
      </c>
      <c r="C3" t="e" vm="1">
        <v>#VALUE!</v>
      </c>
      <c r="D3" s="87">
        <v>2</v>
      </c>
      <c r="E3" s="87">
        <v>3</v>
      </c>
      <c r="F3" s="87">
        <v>4</v>
      </c>
      <c r="G3" s="87">
        <v>5</v>
      </c>
      <c r="H3" s="1" t="str">
        <v>Programming</v>
      </c>
    </row>
    <row r="4" spans="2:8">
      <c r="B4" s="35" t="str">
        <v>ONE OF</v>
      </c>
      <c r="C4" t="e" vm="2">
        <v>#VALUE!</v>
      </c>
      <c r="D4" s="87">
        <v>2</v>
      </c>
      <c r="E4" s="87">
        <v>3</v>
      </c>
      <c r="F4" s="87">
        <v>4</v>
      </c>
      <c r="G4" s="87">
        <v>5</v>
      </c>
      <c r="H4" s="1" t="str">
        <v>Programming</v>
      </c>
    </row>
    <row r="5" spans="2:8">
      <c r="B5" s="35">
        <v>0</v>
      </c>
      <c r="C5" t="e" vm="3">
        <v>#VALUE!</v>
      </c>
      <c r="D5" s="87">
        <v>2</v>
      </c>
      <c r="E5" s="87">
        <v>3</v>
      </c>
      <c r="F5" s="87">
        <v>4</v>
      </c>
      <c r="G5" s="87">
        <v>5</v>
      </c>
      <c r="H5" s="1" t="str">
        <v>Programming</v>
      </c>
    </row>
    <row r="6" spans="2:8">
      <c r="B6" s="35">
        <v>0</v>
      </c>
      <c r="C6" t="e" vm="11">
        <v>#VALUE!</v>
      </c>
      <c r="D6" s="87">
        <v>1</v>
      </c>
      <c r="E6" s="87">
        <v>2</v>
      </c>
      <c r="F6" s="87">
        <v>3</v>
      </c>
      <c r="G6" s="87">
        <v>4</v>
      </c>
      <c r="H6" s="1" t="str">
        <v>Programming</v>
      </c>
    </row>
    <row r="7" spans="2:8">
      <c r="B7" s="35">
        <v>0</v>
      </c>
      <c r="C7" t="e" vm="12">
        <v>#VALUE!</v>
      </c>
      <c r="D7" s="87" t="str">
        <v>N/A</v>
      </c>
      <c r="E7" s="87" t="str">
        <v>N/A</v>
      </c>
      <c r="F7" s="87">
        <v>1</v>
      </c>
      <c r="G7" s="87">
        <v>2</v>
      </c>
      <c r="H7" s="1" t="str">
        <v>Programming</v>
      </c>
    </row>
    <row r="8" spans="2:8">
      <c r="B8" s="35" t="str">
        <v>(beta)</v>
      </c>
      <c r="C8" t="e" vm="13">
        <v>#VALUE!</v>
      </c>
      <c r="D8" s="87" t="str">
        <v>N/A</v>
      </c>
      <c r="E8" s="87">
        <v>1</v>
      </c>
      <c r="F8" s="87">
        <v>1</v>
      </c>
      <c r="G8" s="87">
        <v>1</v>
      </c>
      <c r="H8" s="1" t="str">
        <v>Programming</v>
      </c>
    </row>
    <row r="9" spans="2:8">
      <c r="B9" s="35">
        <v>0</v>
      </c>
      <c r="C9" t="e" vm="18">
        <v>#VALUE!</v>
      </c>
      <c r="D9" s="1">
        <v>1</v>
      </c>
      <c r="E9" s="1">
        <v>3</v>
      </c>
      <c r="F9" s="1">
        <v>4</v>
      </c>
      <c r="G9" s="1">
        <v>4</v>
      </c>
      <c r="H9" s="1" t="str">
        <v>Architecture</v>
      </c>
    </row>
    <row r="10" spans="2:8">
      <c r="B10" s="35">
        <v>0</v>
      </c>
      <c r="C10" t="e" vm="20">
        <v>#VALUE!</v>
      </c>
      <c r="D10" s="1">
        <v>2</v>
      </c>
      <c r="E10" s="1">
        <v>3</v>
      </c>
      <c r="F10" s="1">
        <v>4</v>
      </c>
      <c r="G10" s="1">
        <v>5</v>
      </c>
      <c r="H10" s="1" t="str">
        <v>Architecture</v>
      </c>
    </row>
    <row r="11" spans="2:8">
      <c r="B11" s="35">
        <v>0</v>
      </c>
      <c r="C11" t="e" vm="21">
        <v>#VALUE!</v>
      </c>
      <c r="D11" s="1">
        <v>2</v>
      </c>
      <c r="E11" s="1">
        <v>3</v>
      </c>
      <c r="F11" s="1">
        <v>4</v>
      </c>
      <c r="G11" s="1">
        <v>5</v>
      </c>
      <c r="H11" s="1" t="str">
        <v>Architecture</v>
      </c>
    </row>
    <row r="12" spans="2:8">
      <c r="B12" s="35">
        <v>0</v>
      </c>
      <c r="C12" t="e" vm="22">
        <v>#VALUE!</v>
      </c>
      <c r="D12" s="1" t="str">
        <v>N/A</v>
      </c>
      <c r="E12" s="1">
        <v>1</v>
      </c>
      <c r="F12" s="1">
        <v>3</v>
      </c>
      <c r="G12" s="1">
        <v>4</v>
      </c>
      <c r="H12" s="1" t="str">
        <v>Architecture</v>
      </c>
    </row>
    <row r="13" spans="2:8">
      <c r="B13" s="35">
        <v>0</v>
      </c>
      <c r="C13" t="e" vm="26">
        <v>#VALUE!</v>
      </c>
      <c r="D13" s="1" t="str">
        <v>N/A</v>
      </c>
      <c r="E13" s="1">
        <v>1</v>
      </c>
      <c r="F13" s="1">
        <v>3</v>
      </c>
      <c r="G13" s="1">
        <v>4</v>
      </c>
      <c r="H13" s="1" t="str">
        <v>Architecture</v>
      </c>
    </row>
    <row r="14" spans="2:8">
      <c r="B14" s="35">
        <v>0</v>
      </c>
      <c r="C14" t="e" vm="27">
        <v>#VALUE!</v>
      </c>
      <c r="D14" s="1">
        <v>1</v>
      </c>
      <c r="E14" s="1">
        <v>2</v>
      </c>
      <c r="F14" s="1">
        <v>2</v>
      </c>
      <c r="G14" s="1">
        <v>3</v>
      </c>
      <c r="H14" s="1" t="str">
        <v>Architecture</v>
      </c>
    </row>
    <row r="15" spans="2:8">
      <c r="B15" s="35">
        <v>0</v>
      </c>
      <c r="C15" t="e" vm="28">
        <v>#VALUE!</v>
      </c>
      <c r="D15" s="1" t="str">
        <v>N/A</v>
      </c>
      <c r="E15" s="1" t="str">
        <v>N/A</v>
      </c>
      <c r="F15" s="1">
        <v>2</v>
      </c>
      <c r="G15" s="1">
        <v>3</v>
      </c>
      <c r="H15" s="1" t="str">
        <v>Architecture</v>
      </c>
    </row>
    <row r="16" spans="2:8">
      <c r="B16" s="35">
        <v>0</v>
      </c>
      <c r="C16" t="e" vm="29">
        <v>#VALUE!</v>
      </c>
      <c r="D16" s="1" t="str">
        <v>N/A</v>
      </c>
      <c r="E16" s="1">
        <v>1</v>
      </c>
      <c r="F16" s="1">
        <v>2</v>
      </c>
      <c r="G16" s="1">
        <v>3</v>
      </c>
      <c r="H16" s="1" t="str">
        <v>Architecture</v>
      </c>
    </row>
    <row r="17" spans="2:8">
      <c r="B17" s="35">
        <v>0</v>
      </c>
      <c r="C17" t="e" vm="30">
        <v>#VALUE!</v>
      </c>
      <c r="D17" s="1" t="str">
        <v>N/A</v>
      </c>
      <c r="E17" s="1">
        <v>1</v>
      </c>
      <c r="F17" s="1">
        <v>2</v>
      </c>
      <c r="G17" s="1">
        <v>4</v>
      </c>
      <c r="H17" s="1" t="str">
        <v>Architecture</v>
      </c>
    </row>
    <row r="18" spans="2:8">
      <c r="B18" s="35">
        <v>0</v>
      </c>
      <c r="C18" t="e" vm="31">
        <v>#VALUE!</v>
      </c>
      <c r="D18" s="1" t="str">
        <v>N/A</v>
      </c>
      <c r="E18" s="1">
        <v>1</v>
      </c>
      <c r="F18" s="1">
        <v>2</v>
      </c>
      <c r="G18" s="1">
        <v>3</v>
      </c>
      <c r="H18" s="1" t="str">
        <v>Architecture</v>
      </c>
    </row>
    <row r="19" spans="2:8">
      <c r="B19" s="35">
        <v>0</v>
      </c>
      <c r="C19" t="e" vm="32">
        <v>#VALUE!</v>
      </c>
      <c r="D19" s="1">
        <v>1</v>
      </c>
      <c r="E19" s="1">
        <v>2</v>
      </c>
      <c r="F19" s="1">
        <v>3</v>
      </c>
      <c r="G19" s="1">
        <v>4</v>
      </c>
      <c r="H19" s="1" t="str">
        <v>Architecture</v>
      </c>
    </row>
    <row r="20" spans="2:8">
      <c r="B20" s="35" t="str">
        <v>ONE OF</v>
      </c>
      <c r="C20" t="e" vm="34">
        <v>#VALUE!</v>
      </c>
      <c r="D20" s="1">
        <v>1</v>
      </c>
      <c r="E20" s="1">
        <v>2</v>
      </c>
      <c r="F20" s="1">
        <v>3</v>
      </c>
      <c r="G20" s="1">
        <v>4</v>
      </c>
      <c r="H20" s="1" t="str">
        <v>Architecture</v>
      </c>
    </row>
    <row r="21" spans="2:8">
      <c r="B21" s="35" t="str">
        <v>ONE OF</v>
      </c>
      <c r="C21" t="e" vm="35">
        <v>#VALUE!</v>
      </c>
      <c r="D21" s="1">
        <v>1</v>
      </c>
      <c r="E21" s="1">
        <v>2</v>
      </c>
      <c r="F21" s="1">
        <v>3</v>
      </c>
      <c r="G21" s="1">
        <v>3</v>
      </c>
      <c r="H21" s="1" t="str">
        <v>Architecture</v>
      </c>
    </row>
    <row r="22" spans="2:8">
      <c r="B22" s="35" t="str">
        <v>ONE OF</v>
      </c>
      <c r="C22" t="e" vm="36">
        <v>#VALUE!</v>
      </c>
      <c r="D22" s="1">
        <v>1</v>
      </c>
      <c r="E22" s="1">
        <v>2</v>
      </c>
      <c r="F22" s="1">
        <v>3</v>
      </c>
      <c r="G22" s="1">
        <v>3</v>
      </c>
      <c r="H22" s="1" t="str">
        <v>Architecture</v>
      </c>
    </row>
    <row r="23" spans="2:8">
      <c r="B23" s="35">
        <v>0</v>
      </c>
      <c r="C23" t="e" vm="38">
        <v>#VALUE!</v>
      </c>
      <c r="D23" s="1">
        <v>2</v>
      </c>
      <c r="E23" s="1">
        <v>3</v>
      </c>
      <c r="F23" s="1">
        <v>4</v>
      </c>
      <c r="G23" s="1">
        <v>4</v>
      </c>
      <c r="H23" s="1" t="str">
        <v>Computer Science</v>
      </c>
    </row>
    <row r="24" spans="2:8">
      <c r="B24" s="35">
        <v>0</v>
      </c>
      <c r="C24" t="e" vm="39">
        <v>#VALUE!</v>
      </c>
      <c r="D24" s="1">
        <v>2</v>
      </c>
      <c r="E24" s="1">
        <v>3</v>
      </c>
      <c r="F24" s="1">
        <v>4</v>
      </c>
      <c r="G24" s="1">
        <v>4</v>
      </c>
      <c r="H24" s="1" t="str">
        <v>Computer Science</v>
      </c>
    </row>
    <row r="25" spans="2:8">
      <c r="B25" s="35">
        <v>0</v>
      </c>
      <c r="C25" t="e" vm="40">
        <v>#VALUE!</v>
      </c>
      <c r="D25" s="1">
        <v>2</v>
      </c>
      <c r="E25" s="1">
        <v>3</v>
      </c>
      <c r="F25" s="1">
        <v>4</v>
      </c>
      <c r="G25" s="1">
        <v>4</v>
      </c>
      <c r="H25" s="1" t="str">
        <v>Computer Science</v>
      </c>
    </row>
    <row r="26" spans="2:8">
      <c r="B26" s="35">
        <v>0</v>
      </c>
      <c r="C26" t="e" vm="41">
        <v>#VALUE!</v>
      </c>
      <c r="D26" s="1">
        <v>2</v>
      </c>
      <c r="E26" s="1">
        <v>3</v>
      </c>
      <c r="F26" s="1">
        <v>4</v>
      </c>
      <c r="G26" s="1">
        <v>4</v>
      </c>
      <c r="H26" s="1" t="str">
        <v>Computer Science</v>
      </c>
    </row>
    <row r="27" spans="2:8">
      <c r="B27" s="35">
        <v>0</v>
      </c>
      <c r="C27" t="e" vm="42">
        <v>#VALUE!</v>
      </c>
      <c r="D27" s="1">
        <v>1</v>
      </c>
      <c r="E27" s="1">
        <v>2</v>
      </c>
      <c r="F27" s="1">
        <v>3</v>
      </c>
      <c r="G27" s="1">
        <v>4</v>
      </c>
      <c r="H27" s="1" t="str">
        <v>Computer Science</v>
      </c>
    </row>
    <row r="28" spans="2:8">
      <c r="B28" s="35">
        <v>0</v>
      </c>
      <c r="C28" t="e" vm="43">
        <v>#VALUE!</v>
      </c>
      <c r="D28" s="1">
        <v>2</v>
      </c>
      <c r="E28" s="1">
        <v>3</v>
      </c>
      <c r="F28" s="1">
        <v>4</v>
      </c>
      <c r="G28" s="1">
        <v>4</v>
      </c>
      <c r="H28" s="1" t="str">
        <v>Computer Science</v>
      </c>
    </row>
    <row r="29" spans="2:8">
      <c r="B29" s="35">
        <v>0</v>
      </c>
      <c r="C29" t="e" vm="44">
        <v>#VALUE!</v>
      </c>
      <c r="D29" s="1">
        <v>2</v>
      </c>
      <c r="E29" s="1">
        <v>3</v>
      </c>
      <c r="F29" s="1">
        <v>4</v>
      </c>
      <c r="G29" s="1">
        <v>4</v>
      </c>
      <c r="H29" s="1" t="str">
        <v>Computer Science</v>
      </c>
    </row>
    <row r="30" spans="2:8">
      <c r="B30" s="35">
        <v>0</v>
      </c>
      <c r="C30" t="e" vm="45">
        <v>#VALUE!</v>
      </c>
      <c r="D30" s="1">
        <v>2</v>
      </c>
      <c r="E30" s="1">
        <v>3</v>
      </c>
      <c r="F30" s="1">
        <v>4</v>
      </c>
      <c r="G30" s="1">
        <v>4</v>
      </c>
      <c r="H30" s="1" t="str">
        <v>Computer Science</v>
      </c>
    </row>
    <row r="31" spans="2:8">
      <c r="B31" s="35">
        <v>0</v>
      </c>
      <c r="C31" t="e" vm="46">
        <v>#VALUE!</v>
      </c>
      <c r="D31" s="1">
        <v>2</v>
      </c>
      <c r="E31" s="1">
        <v>3</v>
      </c>
      <c r="F31" s="1">
        <v>4</v>
      </c>
      <c r="G31" s="1">
        <v>4</v>
      </c>
      <c r="H31" s="1" t="str">
        <v>Computer Science</v>
      </c>
    </row>
    <row r="32" spans="2:8">
      <c r="B32" s="35">
        <v>0</v>
      </c>
      <c r="C32" t="e" vm="47">
        <v>#VALUE!</v>
      </c>
      <c r="D32" s="1">
        <v>1</v>
      </c>
      <c r="E32" s="1">
        <v>2</v>
      </c>
      <c r="F32" s="1">
        <v>3</v>
      </c>
      <c r="G32" s="1">
        <v>3</v>
      </c>
      <c r="H32" s="1" t="str">
        <v>Computer Science</v>
      </c>
    </row>
    <row r="33" spans="2:8">
      <c r="B33" s="35">
        <v>0</v>
      </c>
      <c r="C33" t="e" vm="48">
        <v>#VALUE!</v>
      </c>
      <c r="D33" s="1">
        <v>2</v>
      </c>
      <c r="E33" s="1">
        <v>3</v>
      </c>
      <c r="F33" s="1">
        <v>4</v>
      </c>
      <c r="G33" s="1">
        <v>5</v>
      </c>
      <c r="H33" s="1" t="str">
        <v>Data Persistence</v>
      </c>
    </row>
    <row r="34" spans="2:8">
      <c r="B34" s="35">
        <v>0</v>
      </c>
      <c r="C34" t="e" vm="49">
        <v>#VALUE!</v>
      </c>
      <c r="D34" s="1">
        <v>1</v>
      </c>
      <c r="E34" s="1">
        <v>2</v>
      </c>
      <c r="F34" s="1">
        <v>3</v>
      </c>
      <c r="G34" s="1">
        <v>4</v>
      </c>
      <c r="H34" s="1" t="str">
        <v>Data Persistence</v>
      </c>
    </row>
    <row r="35" spans="2:8">
      <c r="B35" s="35">
        <v>0</v>
      </c>
      <c r="C35" t="e" vm="50">
        <v>#VALUE!</v>
      </c>
      <c r="D35" s="1">
        <v>2</v>
      </c>
      <c r="E35" s="1">
        <v>3</v>
      </c>
      <c r="F35" s="1">
        <v>4</v>
      </c>
      <c r="G35" s="1">
        <v>5</v>
      </c>
      <c r="H35" s="1" t="str">
        <v>Data Persistence</v>
      </c>
    </row>
    <row r="36" spans="2:8">
      <c r="B36" s="35">
        <v>0</v>
      </c>
      <c r="C36" t="e" vm="51">
        <v>#VALUE!</v>
      </c>
      <c r="D36" s="1">
        <v>2</v>
      </c>
      <c r="E36" s="1">
        <v>3</v>
      </c>
      <c r="F36" s="1">
        <v>4</v>
      </c>
      <c r="G36" s="1">
        <v>5</v>
      </c>
      <c r="H36" s="1" t="str">
        <v>Data Persistence</v>
      </c>
    </row>
    <row r="37" spans="2:8">
      <c r="B37" s="35">
        <v>0</v>
      </c>
      <c r="C37" t="e" vm="52">
        <v>#VALUE!</v>
      </c>
      <c r="D37" s="1">
        <v>1</v>
      </c>
      <c r="E37" s="1">
        <v>2</v>
      </c>
      <c r="F37" s="1">
        <v>3</v>
      </c>
      <c r="G37" s="1">
        <v>4</v>
      </c>
      <c r="H37" s="1" t="str">
        <v>Data Persistence</v>
      </c>
    </row>
    <row r="38" spans="2:8">
      <c r="B38" s="35">
        <v>0</v>
      </c>
      <c r="C38" t="e" vm="53">
        <v>#VALUE!</v>
      </c>
      <c r="D38" s="1">
        <v>2</v>
      </c>
      <c r="E38" s="1">
        <v>3</v>
      </c>
      <c r="F38" s="1">
        <v>4</v>
      </c>
      <c r="G38" s="1">
        <v>5</v>
      </c>
      <c r="H38" s="1" t="str">
        <v>Data Persistence</v>
      </c>
    </row>
    <row r="39" spans="2:8">
      <c r="B39" s="35">
        <v>0</v>
      </c>
      <c r="C39" t="e" vm="54">
        <v>#VALUE!</v>
      </c>
      <c r="D39" s="1">
        <v>2</v>
      </c>
      <c r="E39" s="1">
        <v>3</v>
      </c>
      <c r="F39" s="1">
        <v>4</v>
      </c>
      <c r="G39" s="1">
        <v>5</v>
      </c>
      <c r="H39" s="1" t="str">
        <v>DevOps</v>
      </c>
    </row>
    <row r="40" spans="2:8">
      <c r="B40" s="35">
        <v>0</v>
      </c>
      <c r="C40" t="e" vm="55">
        <v>#VALUE!</v>
      </c>
      <c r="D40" s="1" t="str">
        <v>N/A</v>
      </c>
      <c r="E40" s="1">
        <v>1</v>
      </c>
      <c r="F40" s="1">
        <v>2</v>
      </c>
      <c r="G40" s="1">
        <v>3</v>
      </c>
      <c r="H40" s="1" t="str">
        <v>DevOps</v>
      </c>
    </row>
    <row r="41" spans="2:8">
      <c r="B41" s="35">
        <v>0</v>
      </c>
      <c r="C41" t="e" vm="56">
        <v>#VALUE!</v>
      </c>
      <c r="D41" s="1">
        <v>3</v>
      </c>
      <c r="E41" s="1">
        <v>4</v>
      </c>
      <c r="F41" s="1">
        <v>4</v>
      </c>
      <c r="G41" s="1">
        <v>4</v>
      </c>
      <c r="H41" s="1" t="str">
        <v>DevOps</v>
      </c>
    </row>
    <row r="42" spans="2:8">
      <c r="B42" s="35">
        <v>0</v>
      </c>
      <c r="C42" t="e" vm="57">
        <v>#VALUE!</v>
      </c>
      <c r="D42" s="1">
        <v>1</v>
      </c>
      <c r="E42" s="1">
        <v>2</v>
      </c>
      <c r="F42" s="1">
        <v>3</v>
      </c>
      <c r="G42" s="1">
        <v>4</v>
      </c>
      <c r="H42" s="1" t="str">
        <v>DevOps</v>
      </c>
    </row>
    <row r="43" spans="2:8">
      <c r="B43" s="35">
        <v>0</v>
      </c>
      <c r="C43" t="e" vm="58">
        <v>#VALUE!</v>
      </c>
      <c r="D43" s="1">
        <v>1</v>
      </c>
      <c r="E43" s="1">
        <v>1</v>
      </c>
      <c r="F43" s="1">
        <v>2</v>
      </c>
      <c r="G43" s="1">
        <v>3</v>
      </c>
      <c r="H43" s="1" t="str">
        <v>DevOps</v>
      </c>
    </row>
    <row r="44" spans="2:8">
      <c r="B44" s="35">
        <v>0</v>
      </c>
      <c r="C44" t="e" vm="59">
        <v>#VALUE!</v>
      </c>
      <c r="D44" s="1" t="str">
        <v>N/A</v>
      </c>
      <c r="E44" s="1">
        <v>1</v>
      </c>
      <c r="F44" s="1">
        <v>2</v>
      </c>
      <c r="G44" s="1">
        <v>3</v>
      </c>
      <c r="H44" s="1" t="str">
        <v>DevOps</v>
      </c>
    </row>
    <row r="45" spans="2:8">
      <c r="B45" s="35">
        <v>0</v>
      </c>
      <c r="C45" t="e" vm="60">
        <v>#VALUE!</v>
      </c>
      <c r="D45" s="1">
        <v>2</v>
      </c>
      <c r="E45" s="1">
        <v>3</v>
      </c>
      <c r="F45" s="1">
        <v>3</v>
      </c>
      <c r="G45" s="1">
        <v>4</v>
      </c>
      <c r="H45" s="1" t="str">
        <v>Networks</v>
      </c>
    </row>
    <row r="46" spans="2:8">
      <c r="B46" s="35">
        <v>0</v>
      </c>
      <c r="C46" t="e" vm="61">
        <v>#VALUE!</v>
      </c>
      <c r="D46" s="1">
        <v>2</v>
      </c>
      <c r="E46" s="1">
        <v>3</v>
      </c>
      <c r="F46" s="1">
        <v>3</v>
      </c>
      <c r="G46" s="1">
        <v>4</v>
      </c>
      <c r="H46" s="1" t="str">
        <v>Networks</v>
      </c>
    </row>
    <row r="47" spans="2:8">
      <c r="B47" s="35">
        <v>0</v>
      </c>
      <c r="C47" t="e" vm="62">
        <v>#VALUE!</v>
      </c>
      <c r="D47" s="1">
        <v>1</v>
      </c>
      <c r="E47" s="1">
        <v>2</v>
      </c>
      <c r="F47" s="1">
        <v>3</v>
      </c>
      <c r="G47" s="1">
        <v>4</v>
      </c>
      <c r="H47" s="1" t="str">
        <v>Networks</v>
      </c>
    </row>
    <row r="48" spans="2:8">
      <c r="B48" s="35">
        <v>0</v>
      </c>
      <c r="C48" t="e" vm="63">
        <v>#VALUE!</v>
      </c>
      <c r="D48" s="1">
        <v>1</v>
      </c>
      <c r="E48" s="1">
        <v>2</v>
      </c>
      <c r="F48" s="1">
        <v>3</v>
      </c>
      <c r="G48" s="1">
        <v>4</v>
      </c>
      <c r="H48" s="1" t="str">
        <v>Networks</v>
      </c>
    </row>
    <row r="49" spans="2:8">
      <c r="B49" s="35">
        <v>0</v>
      </c>
      <c r="C49" t="e" vm="64">
        <v>#VALUE!</v>
      </c>
      <c r="D49" s="1">
        <v>2</v>
      </c>
      <c r="E49" s="1">
        <v>3</v>
      </c>
      <c r="F49" s="1">
        <v>4</v>
      </c>
      <c r="G49" s="1">
        <v>5</v>
      </c>
      <c r="H49" s="1" t="str">
        <v>Networks</v>
      </c>
    </row>
    <row r="50" spans="2:8">
      <c r="B50" s="35">
        <v>0</v>
      </c>
      <c r="C50" t="e" vm="65">
        <v>#VALUE!</v>
      </c>
      <c r="D50" s="1">
        <v>1</v>
      </c>
      <c r="E50" s="1">
        <v>2</v>
      </c>
      <c r="F50" s="1">
        <v>3</v>
      </c>
      <c r="G50" s="1">
        <v>4</v>
      </c>
      <c r="H50" s="1" t="str">
        <v>Networks</v>
      </c>
    </row>
    <row r="51" spans="2:8">
      <c r="B51" s="35">
        <v>0</v>
      </c>
      <c r="C51" t="e" vm="66">
        <v>#VALUE!</v>
      </c>
      <c r="D51" s="1">
        <v>1</v>
      </c>
      <c r="E51" s="1">
        <v>2</v>
      </c>
      <c r="F51" s="1">
        <v>3</v>
      </c>
      <c r="G51" s="1">
        <v>4</v>
      </c>
      <c r="H51" s="1" t="str">
        <v>Networks</v>
      </c>
    </row>
    <row r="52" spans="2:8">
      <c r="B52" s="35">
        <v>0</v>
      </c>
      <c r="C52" t="e" vm="67">
        <v>#VALUE!</v>
      </c>
      <c r="D52" s="1">
        <v>1</v>
      </c>
      <c r="E52" s="1">
        <v>2</v>
      </c>
      <c r="F52" s="1">
        <v>3</v>
      </c>
      <c r="G52" s="1">
        <v>4</v>
      </c>
      <c r="H52" s="1" t="str">
        <v>Networks</v>
      </c>
    </row>
    <row r="53" spans="2:8">
      <c r="B53" s="35">
        <v>0</v>
      </c>
      <c r="C53" t="e" vm="68">
        <v>#VALUE!</v>
      </c>
      <c r="D53" s="1">
        <v>3</v>
      </c>
      <c r="E53" s="1">
        <v>3</v>
      </c>
      <c r="F53" s="1">
        <v>4</v>
      </c>
      <c r="G53" s="1">
        <v>4</v>
      </c>
      <c r="H53" s="1" t="str">
        <v>Patterns &amp; Practices</v>
      </c>
    </row>
    <row r="54" spans="2:8">
      <c r="B54" s="35">
        <v>0</v>
      </c>
      <c r="C54" t="e" vm="69">
        <v>#VALUE!</v>
      </c>
      <c r="D54" s="1">
        <v>2</v>
      </c>
      <c r="E54" s="1">
        <v>3</v>
      </c>
      <c r="F54" s="1">
        <v>4</v>
      </c>
      <c r="G54" s="1">
        <v>4</v>
      </c>
      <c r="H54" s="1" t="str">
        <v>Patterns &amp; Practices</v>
      </c>
    </row>
    <row r="55" spans="2:8">
      <c r="B55" s="35">
        <v>0</v>
      </c>
      <c r="C55" t="e" vm="70">
        <v>#VALUE!</v>
      </c>
      <c r="D55" s="1">
        <v>1</v>
      </c>
      <c r="E55" s="1">
        <v>2</v>
      </c>
      <c r="F55" s="1">
        <v>3</v>
      </c>
      <c r="G55" s="1">
        <v>4</v>
      </c>
      <c r="H55" s="1" t="str">
        <v>Patterns &amp; Practices</v>
      </c>
    </row>
    <row r="56" spans="2:8">
      <c r="B56" s="35">
        <v>0</v>
      </c>
      <c r="C56" t="e" vm="71">
        <v>#VALUE!</v>
      </c>
      <c r="D56" s="1">
        <v>2</v>
      </c>
      <c r="E56" s="1">
        <v>3</v>
      </c>
      <c r="F56" s="1">
        <v>4</v>
      </c>
      <c r="G56" s="1">
        <v>5</v>
      </c>
      <c r="H56" s="1" t="str">
        <v>Patterns &amp; Practices</v>
      </c>
    </row>
    <row r="57" spans="2:8">
      <c r="B57" s="35">
        <v>0</v>
      </c>
      <c r="C57" t="e" vm="72">
        <v>#VALUE!</v>
      </c>
      <c r="D57" s="1">
        <v>2</v>
      </c>
      <c r="E57" s="1">
        <v>3</v>
      </c>
      <c r="F57" s="1">
        <v>4</v>
      </c>
      <c r="G57" s="1">
        <v>5</v>
      </c>
      <c r="H57" s="1" t="str">
        <v>Patterns &amp; Practices</v>
      </c>
    </row>
    <row r="58" spans="2:8">
      <c r="B58" s="35">
        <v>0</v>
      </c>
      <c r="C58" t="e" vm="73">
        <v>#VALUE!</v>
      </c>
      <c r="D58" s="1">
        <v>2</v>
      </c>
      <c r="E58" s="1">
        <v>3</v>
      </c>
      <c r="F58" s="1">
        <v>4</v>
      </c>
      <c r="G58" s="1">
        <v>5</v>
      </c>
      <c r="H58" s="1" t="str">
        <v>Patterns &amp; Practices</v>
      </c>
    </row>
    <row r="59" spans="2:8">
      <c r="B59" s="35">
        <v>0</v>
      </c>
      <c r="C59" t="e" vm="74">
        <v>#VALUE!</v>
      </c>
      <c r="D59" s="1">
        <v>3</v>
      </c>
      <c r="E59" s="1">
        <v>3</v>
      </c>
      <c r="F59" s="1">
        <v>4</v>
      </c>
      <c r="G59" s="1">
        <v>4</v>
      </c>
      <c r="H59" s="1" t="str">
        <v>Patterns &amp; Practices</v>
      </c>
    </row>
    <row r="60" spans="2:8">
      <c r="B60" s="35">
        <v>0</v>
      </c>
      <c r="C60" t="e" vm="75">
        <v>#VALUE!</v>
      </c>
      <c r="D60" s="1" t="str">
        <v>N/A</v>
      </c>
      <c r="E60" s="1">
        <v>1</v>
      </c>
      <c r="F60" s="1">
        <v>3</v>
      </c>
      <c r="G60" s="1">
        <v>4</v>
      </c>
      <c r="H60" s="1" t="str">
        <v>Patterns &amp; Practices</v>
      </c>
    </row>
    <row r="61" spans="2:8">
      <c r="B61" s="35">
        <v>0</v>
      </c>
      <c r="C61" t="e" vm="76">
        <v>#VALUE!</v>
      </c>
      <c r="D61" s="1">
        <v>2</v>
      </c>
      <c r="E61" s="1">
        <v>3</v>
      </c>
      <c r="F61" s="1">
        <v>4</v>
      </c>
      <c r="G61" s="1">
        <v>4</v>
      </c>
      <c r="H61" s="1" t="str">
        <v>Patterns &amp; Practices</v>
      </c>
    </row>
    <row r="62" spans="2:8">
      <c r="B62" s="35">
        <v>0</v>
      </c>
      <c r="C62" t="e" vm="77">
        <v>#VALUE!</v>
      </c>
      <c r="D62" s="1">
        <v>2</v>
      </c>
      <c r="E62" s="1">
        <v>3</v>
      </c>
      <c r="F62" s="1">
        <v>4</v>
      </c>
      <c r="G62" s="1">
        <v>4</v>
      </c>
      <c r="H62" s="1" t="str">
        <v>Patterns &amp; Practices</v>
      </c>
    </row>
    <row r="63" spans="2:8">
      <c r="B63" s="35">
        <v>0</v>
      </c>
      <c r="C63" t="e" vm="78">
        <v>#VALUE!</v>
      </c>
      <c r="D63" s="1">
        <v>2</v>
      </c>
      <c r="E63" s="1">
        <v>3</v>
      </c>
      <c r="F63" s="1">
        <v>4</v>
      </c>
      <c r="G63" s="1">
        <v>4</v>
      </c>
      <c r="H63" s="1" t="str">
        <v>Patterns &amp; Practices</v>
      </c>
    </row>
    <row r="64" spans="2:8">
      <c r="B64" s="35">
        <v>0</v>
      </c>
      <c r="C64" t="e" vm="79">
        <v>#VALUE!</v>
      </c>
      <c r="D64" s="1">
        <v>2</v>
      </c>
      <c r="E64" s="1">
        <v>3</v>
      </c>
      <c r="F64" s="1">
        <v>4</v>
      </c>
      <c r="G64" s="1">
        <v>4</v>
      </c>
      <c r="H64" s="1" t="str">
        <v>Patterns &amp; Practices</v>
      </c>
    </row>
    <row r="65" spans="2:8">
      <c r="B65" s="35">
        <v>0</v>
      </c>
      <c r="C65" t="e" vm="80">
        <v>#VALUE!</v>
      </c>
      <c r="D65" s="1">
        <v>1</v>
      </c>
      <c r="E65" s="1">
        <v>2</v>
      </c>
      <c r="F65" s="1">
        <v>3</v>
      </c>
      <c r="G65" s="1">
        <v>4</v>
      </c>
      <c r="H65" s="1" t="str">
        <v>Patterns &amp; Practices</v>
      </c>
    </row>
    <row r="66" spans="2:8">
      <c r="B66" s="35">
        <v>0</v>
      </c>
      <c r="C66" t="e" vm="81">
        <v>#VALUE!</v>
      </c>
      <c r="D66" s="1">
        <v>2</v>
      </c>
      <c r="E66" s="1">
        <v>3</v>
      </c>
      <c r="F66" s="1">
        <v>4</v>
      </c>
      <c r="G66" s="1">
        <v>4</v>
      </c>
      <c r="H66" s="1" t="str">
        <v>Patterns &amp; Practices</v>
      </c>
    </row>
    <row r="67" spans="2:8">
      <c r="B67" s="35">
        <v>0</v>
      </c>
      <c r="C67" t="e" vm="82">
        <v>#VALUE!</v>
      </c>
      <c r="D67" s="1">
        <v>3</v>
      </c>
      <c r="E67" s="1">
        <v>4</v>
      </c>
      <c r="F67" s="1">
        <v>4</v>
      </c>
      <c r="G67" s="1">
        <v>4</v>
      </c>
      <c r="H67" s="1" t="str">
        <v>Security</v>
      </c>
    </row>
    <row r="68" spans="2:8">
      <c r="B68" s="35">
        <v>0</v>
      </c>
      <c r="C68" t="e" vm="83">
        <v>#VALUE!</v>
      </c>
      <c r="D68" s="1">
        <v>1</v>
      </c>
      <c r="E68" s="1">
        <v>2</v>
      </c>
      <c r="F68" s="1">
        <v>3</v>
      </c>
      <c r="G68" s="1">
        <v>4</v>
      </c>
      <c r="H68" s="1" t="str">
        <v>Security</v>
      </c>
    </row>
    <row r="69" spans="2:8">
      <c r="B69" s="35">
        <v>0</v>
      </c>
      <c r="C69" t="e" vm="84">
        <v>#VALUE!</v>
      </c>
      <c r="D69" s="1">
        <v>1</v>
      </c>
      <c r="E69" s="1">
        <v>2</v>
      </c>
      <c r="F69" s="1">
        <v>3</v>
      </c>
      <c r="G69" s="1">
        <v>4</v>
      </c>
      <c r="H69" s="1" t="str">
        <v>Security</v>
      </c>
    </row>
    <row r="70" spans="2:8">
      <c r="B70" s="35">
        <v>0</v>
      </c>
      <c r="C70" t="e" vm="88">
        <v>#VALUE!</v>
      </c>
      <c r="D70" s="1">
        <v>2</v>
      </c>
      <c r="E70" s="1">
        <v>2</v>
      </c>
      <c r="F70" s="1">
        <v>4</v>
      </c>
      <c r="G70" s="1">
        <v>4</v>
      </c>
      <c r="H70" s="1" t="str">
        <v>Security</v>
      </c>
    </row>
    <row r="71" spans="2:8">
      <c r="B71" s="35">
        <v>0</v>
      </c>
      <c r="C71" t="e" vm="89">
        <v>#VALUE!</v>
      </c>
      <c r="D71" s="1">
        <v>1</v>
      </c>
      <c r="E71" s="1">
        <v>1</v>
      </c>
      <c r="F71" s="1">
        <v>2</v>
      </c>
      <c r="G71" s="1">
        <v>2</v>
      </c>
      <c r="H71" s="1" t="str">
        <v>Security</v>
      </c>
    </row>
    <row r="72" spans="2:8">
      <c r="B72" s="35">
        <v>0</v>
      </c>
      <c r="C72" t="e" vm="90">
        <v>#VALUE!</v>
      </c>
      <c r="D72" s="1">
        <v>2</v>
      </c>
      <c r="E72" s="1">
        <v>3</v>
      </c>
      <c r="F72" s="1">
        <v>4</v>
      </c>
      <c r="G72" s="1">
        <v>4</v>
      </c>
      <c r="H72" s="1" t="str">
        <v>Security</v>
      </c>
    </row>
    <row r="73" spans="2:8">
      <c r="B73" s="35">
        <v>0</v>
      </c>
      <c r="C73" t="e" vm="91">
        <v>#VALUE!</v>
      </c>
      <c r="D73" s="1" t="str">
        <v>N/A</v>
      </c>
      <c r="E73" s="1" t="str">
        <v>N/A</v>
      </c>
      <c r="F73" s="1">
        <v>1</v>
      </c>
      <c r="G73" s="1">
        <v>3</v>
      </c>
      <c r="H73" s="1" t="str">
        <v>Security</v>
      </c>
    </row>
    <row r="74" spans="2:8">
      <c r="B74" s="35">
        <v>0</v>
      </c>
      <c r="C74" t="e" vm="92">
        <v>#VALUE!</v>
      </c>
      <c r="D74" s="1">
        <v>2</v>
      </c>
      <c r="E74" s="1">
        <v>3</v>
      </c>
      <c r="F74" s="1">
        <v>4</v>
      </c>
      <c r="G74" s="1">
        <v>5</v>
      </c>
      <c r="H74" s="1" t="str">
        <v>SDLC</v>
      </c>
    </row>
    <row r="75" spans="2:8">
      <c r="B75" s="35">
        <v>0</v>
      </c>
      <c r="C75" t="e" vm="93">
        <v>#VALUE!</v>
      </c>
      <c r="D75" s="1">
        <v>1</v>
      </c>
      <c r="E75" s="1">
        <v>2</v>
      </c>
      <c r="F75" s="1">
        <v>4</v>
      </c>
      <c r="G75" s="1">
        <v>4</v>
      </c>
      <c r="H75" s="1" t="str">
        <v>SDLC</v>
      </c>
    </row>
    <row r="76" spans="2:8">
      <c r="B76" s="35">
        <v>0</v>
      </c>
      <c r="C76" t="e" vm="94">
        <v>#VALUE!</v>
      </c>
      <c r="D76" s="1" t="str">
        <v>N/A</v>
      </c>
      <c r="E76" s="1" t="str">
        <v>N/A</v>
      </c>
      <c r="F76" s="1">
        <v>1</v>
      </c>
      <c r="G76" s="1">
        <v>2</v>
      </c>
      <c r="H76" s="1" t="str">
        <v>SDLC</v>
      </c>
    </row>
    <row r="77" spans="2:8">
      <c r="B77" s="35">
        <v>0</v>
      </c>
      <c r="C77" t="e" vm="95">
        <v>#VALUE!</v>
      </c>
      <c r="D77" s="1">
        <v>2</v>
      </c>
      <c r="E77" s="1">
        <v>3</v>
      </c>
      <c r="F77" s="1">
        <v>4</v>
      </c>
      <c r="G77" s="1">
        <v>5</v>
      </c>
      <c r="H77" s="1" t="str">
        <v>SDLC</v>
      </c>
    </row>
    <row r="78" spans="2:8">
      <c r="B78" s="35">
        <v>0</v>
      </c>
      <c r="C78" t="e" vm="96">
        <v>#VALUE!</v>
      </c>
      <c r="D78" s="1">
        <v>1</v>
      </c>
      <c r="E78" s="1">
        <v>2</v>
      </c>
      <c r="F78" s="1">
        <v>3</v>
      </c>
      <c r="G78" s="1">
        <v>3</v>
      </c>
      <c r="H78" s="1" t="str">
        <v>AI/LLM</v>
      </c>
    </row>
    <row r="79" spans="2:8">
      <c r="B79" s="35">
        <v>0</v>
      </c>
      <c r="C79" t="e" vm="97">
        <v>#VALUE!</v>
      </c>
      <c r="D79" s="1">
        <v>1</v>
      </c>
      <c r="E79" s="1">
        <v>2</v>
      </c>
      <c r="F79" s="1">
        <v>3</v>
      </c>
      <c r="G79" s="1">
        <v>3</v>
      </c>
      <c r="H79" s="1" t="str">
        <v>AI/LLM</v>
      </c>
    </row>
    <row r="80" spans="2:8">
      <c r="B80" s="35">
        <v>0</v>
      </c>
      <c r="C80" t="e" vm="98">
        <v>#VALUE!</v>
      </c>
      <c r="D80" s="1">
        <v>1</v>
      </c>
      <c r="E80" s="1">
        <v>2</v>
      </c>
      <c r="F80" s="1">
        <v>3</v>
      </c>
      <c r="G80" s="1">
        <v>3</v>
      </c>
      <c r="H80" s="1" t="str">
        <v>AI/LLM</v>
      </c>
    </row>
    <row r="81" spans="2:8">
      <c r="B81" s="35">
        <v>0</v>
      </c>
      <c r="C81" t="e" vm="99">
        <v>#VALUE!</v>
      </c>
      <c r="D81" s="1">
        <v>1</v>
      </c>
      <c r="E81" s="1">
        <v>2</v>
      </c>
      <c r="F81" s="1">
        <v>3</v>
      </c>
      <c r="G81" s="1">
        <v>3</v>
      </c>
      <c r="H81" s="1" t="str">
        <v>AI/LLM</v>
      </c>
    </row>
    <row r="82" spans="2:8">
      <c r="B82" s="35">
        <v>0</v>
      </c>
      <c r="C82" t="e" vm="100">
        <v>#VALUE!</v>
      </c>
      <c r="D82" s="1">
        <v>1</v>
      </c>
      <c r="E82" s="1">
        <v>2</v>
      </c>
      <c r="F82" s="1">
        <v>3</v>
      </c>
      <c r="G82" s="1">
        <v>3</v>
      </c>
      <c r="H82" s="1" t="str">
        <v>AI/LLM</v>
      </c>
    </row>
    <row r="83" spans="2:8">
      <c r="B83" s="35">
        <v>0</v>
      </c>
      <c r="C83" t="e" vm="101">
        <v>#VALUE!</v>
      </c>
      <c r="D83" s="1">
        <v>1</v>
      </c>
      <c r="E83" s="1">
        <v>2</v>
      </c>
      <c r="F83" s="1">
        <v>3</v>
      </c>
      <c r="G83" s="1">
        <v>3</v>
      </c>
      <c r="H83" s="1" t="str">
        <v>AI/LLM</v>
      </c>
    </row>
  </sheetData>
  <autoFilter ref="B2:H77" xr:uid="{EC445499-BF74-496C-B8F9-701E295E6398}"/>
  <conditionalFormatting sqref="D3">
    <cfRule type="colorScale" priority="6">
      <colorScale>
        <cfvo type="min"/>
        <cfvo type="percentile" val="50"/>
        <cfvo type="max"/>
        <color rgb="FFFDE4DF"/>
        <color rgb="FFFFF7D1"/>
        <color rgb="FFC9EFE4"/>
      </colorScale>
    </cfRule>
  </conditionalFormatting>
  <conditionalFormatting sqref="D3:G200">
    <cfRule type="cellIs" dxfId="14" priority="1" stopIfTrue="1" operator="equal">
      <formula>1</formula>
    </cfRule>
    <cfRule type="cellIs" dxfId="13" priority="2" stopIfTrue="1" operator="equal">
      <formula>2</formula>
    </cfRule>
    <cfRule type="cellIs" dxfId="12" priority="3" stopIfTrue="1" operator="equal">
      <formula>3</formula>
    </cfRule>
    <cfRule type="cellIs" dxfId="11" priority="4" stopIfTrue="1" operator="equal">
      <formula>4</formula>
    </cfRule>
    <cfRule type="cellIs" dxfId="10" priority="5" stopIfTrue="1" operator="equal">
      <formula>5</formula>
    </cfRule>
  </conditionalFormatting>
  <conditionalFormatting sqref="D4:G100">
    <cfRule type="colorScale" priority="8">
      <colorScale>
        <cfvo type="min"/>
        <cfvo type="percentile" val="50"/>
        <cfvo type="max"/>
        <color rgb="FFFDE4DF"/>
        <color rgb="FFFFF7D1"/>
        <color rgb="FFC9EFE4"/>
      </colorScale>
    </cfRule>
  </conditionalFormatting>
  <conditionalFormatting sqref="E3:G3">
    <cfRule type="colorScale" priority="7">
      <colorScale>
        <cfvo type="min"/>
        <cfvo type="percentile" val="50"/>
        <cfvo type="max"/>
        <color rgb="FFFDE4DF"/>
        <color rgb="FFFFF7D1"/>
        <color rgb="FFC9EFE4"/>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45499-BF74-496C-B8F9-701E295E6398}">
  <dimension ref="B2:H84"/>
  <sheetViews>
    <sheetView topLeftCell="A21" workbookViewId="0">
      <selection activeCell="D6" sqref="D6"/>
    </sheetView>
  </sheetViews>
  <sheetFormatPr defaultRowHeight="14.45"/>
  <cols>
    <col min="2" max="2" width="9.140625" style="35"/>
    <col min="3" max="3" width="40.5703125" bestFit="1" customWidth="1"/>
    <col min="4" max="7" width="12.28515625" style="1" customWidth="1"/>
    <col min="8" max="8" width="18.85546875" style="1" bestFit="1" customWidth="1"/>
  </cols>
  <sheetData>
    <row r="2" spans="2:8">
      <c r="B2" s="78" t="s">
        <v>17</v>
      </c>
      <c r="C2" s="79" t="s">
        <v>177</v>
      </c>
      <c r="D2" s="86" t="s">
        <v>9</v>
      </c>
      <c r="E2" s="86" t="s">
        <v>11</v>
      </c>
      <c r="F2" s="86" t="s">
        <v>13</v>
      </c>
      <c r="G2" s="86" t="s">
        <v>15</v>
      </c>
      <c r="H2" s="80" t="s">
        <v>19</v>
      </c>
    </row>
    <row r="3" spans="2:8">
      <c r="B3" s="35" t="str" cm="1">
        <f t="array" ref="B3:H84">_xlfn._xlws.FILTER(INDEX(groupedTable[],_xlfn.SEQUENCE(ROWS(groupedTable[])),_xlfn.XMATCH(B2:H2,groupedTable[#Headers])),(groupedTable[Spec]="Desktop")+(groupedTable[Spec]="General"),"")</f>
        <v>ONE OF</v>
      </c>
      <c r="C3" t="e" vm="1">
        <v>#VALUE!</v>
      </c>
      <c r="D3" s="87">
        <v>2</v>
      </c>
      <c r="E3" s="87">
        <v>3</v>
      </c>
      <c r="F3" s="87">
        <v>4</v>
      </c>
      <c r="G3" s="87">
        <v>5</v>
      </c>
      <c r="H3" s="1" t="str">
        <v>Programming</v>
      </c>
    </row>
    <row r="4" spans="2:8">
      <c r="B4" s="35" t="str">
        <v>ONE OF</v>
      </c>
      <c r="C4" t="e" vm="2">
        <v>#VALUE!</v>
      </c>
      <c r="D4" s="87">
        <v>2</v>
      </c>
      <c r="E4" s="87">
        <v>3</v>
      </c>
      <c r="F4" s="87">
        <v>4</v>
      </c>
      <c r="G4" s="87">
        <v>5</v>
      </c>
      <c r="H4" s="1" t="str">
        <v>Programming</v>
      </c>
    </row>
    <row r="5" spans="2:8">
      <c r="B5" s="35">
        <v>0</v>
      </c>
      <c r="C5" t="e" vm="3">
        <v>#VALUE!</v>
      </c>
      <c r="D5" s="87">
        <v>2</v>
      </c>
      <c r="E5" s="87">
        <v>3</v>
      </c>
      <c r="F5" s="87">
        <v>4</v>
      </c>
      <c r="G5" s="87">
        <v>5</v>
      </c>
      <c r="H5" s="1" t="str">
        <v>Programming</v>
      </c>
    </row>
    <row r="6" spans="2:8">
      <c r="B6" s="35">
        <v>0</v>
      </c>
      <c r="C6" t="e" vm="11">
        <v>#VALUE!</v>
      </c>
      <c r="D6" s="87">
        <v>1</v>
      </c>
      <c r="E6" s="87">
        <v>2</v>
      </c>
      <c r="F6" s="87">
        <v>3</v>
      </c>
      <c r="G6" s="87">
        <v>4</v>
      </c>
      <c r="H6" s="1" t="str">
        <v>Programming</v>
      </c>
    </row>
    <row r="7" spans="2:8">
      <c r="B7" s="35" t="str">
        <v>ONE OF</v>
      </c>
      <c r="C7" t="e" vm="14">
        <v>#VALUE!</v>
      </c>
      <c r="D7" s="87">
        <v>2</v>
      </c>
      <c r="E7" s="87">
        <v>3</v>
      </c>
      <c r="F7" s="87">
        <v>4</v>
      </c>
      <c r="G7" s="87">
        <v>5</v>
      </c>
      <c r="H7" s="1" t="str">
        <v>Programming</v>
      </c>
    </row>
    <row r="8" spans="2:8">
      <c r="B8" s="35" t="str">
        <v>ONE OF</v>
      </c>
      <c r="C8" t="e" vm="15">
        <v>#VALUE!</v>
      </c>
      <c r="D8" s="87">
        <v>3</v>
      </c>
      <c r="E8" s="87">
        <v>3</v>
      </c>
      <c r="F8" s="87">
        <v>4</v>
      </c>
      <c r="G8" s="87">
        <v>5</v>
      </c>
      <c r="H8" s="1" t="str">
        <v>Programming</v>
      </c>
    </row>
    <row r="9" spans="2:8">
      <c r="B9" s="35" t="str">
        <v>ONE OF</v>
      </c>
      <c r="C9" t="e" vm="16">
        <v>#VALUE!</v>
      </c>
      <c r="D9" s="1">
        <v>3</v>
      </c>
      <c r="E9" s="1">
        <v>3</v>
      </c>
      <c r="F9" s="1">
        <v>4</v>
      </c>
      <c r="G9" s="1">
        <v>5</v>
      </c>
      <c r="H9" s="1" t="str">
        <v>Programming</v>
      </c>
    </row>
    <row r="10" spans="2:8">
      <c r="B10" s="35">
        <v>0</v>
      </c>
      <c r="C10" t="e" vm="18">
        <v>#VALUE!</v>
      </c>
      <c r="D10" s="1">
        <v>1</v>
      </c>
      <c r="E10" s="1">
        <v>3</v>
      </c>
      <c r="F10" s="1">
        <v>4</v>
      </c>
      <c r="G10" s="1">
        <v>4</v>
      </c>
      <c r="H10" s="1" t="str">
        <v>Architecture</v>
      </c>
    </row>
    <row r="11" spans="2:8">
      <c r="B11" s="35">
        <v>0</v>
      </c>
      <c r="C11" t="e" vm="20">
        <v>#VALUE!</v>
      </c>
      <c r="D11" s="1">
        <v>2</v>
      </c>
      <c r="E11" s="1">
        <v>3</v>
      </c>
      <c r="F11" s="1">
        <v>4</v>
      </c>
      <c r="G11" s="1">
        <v>5</v>
      </c>
      <c r="H11" s="1" t="str">
        <v>Architecture</v>
      </c>
    </row>
    <row r="12" spans="2:8">
      <c r="B12" s="35">
        <v>0</v>
      </c>
      <c r="C12" t="e" vm="21">
        <v>#VALUE!</v>
      </c>
      <c r="D12" s="1">
        <v>2</v>
      </c>
      <c r="E12" s="1">
        <v>3</v>
      </c>
      <c r="F12" s="1">
        <v>4</v>
      </c>
      <c r="G12" s="1">
        <v>5</v>
      </c>
      <c r="H12" s="1" t="str">
        <v>Architecture</v>
      </c>
    </row>
    <row r="13" spans="2:8">
      <c r="B13" s="35">
        <v>0</v>
      </c>
      <c r="C13" t="e" vm="22">
        <v>#VALUE!</v>
      </c>
      <c r="D13" s="1" t="str">
        <v>N/A</v>
      </c>
      <c r="E13" s="1">
        <v>1</v>
      </c>
      <c r="F13" s="1">
        <v>3</v>
      </c>
      <c r="G13" s="1">
        <v>4</v>
      </c>
      <c r="H13" s="1" t="str">
        <v>Architecture</v>
      </c>
    </row>
    <row r="14" spans="2:8">
      <c r="B14" s="35">
        <v>0</v>
      </c>
      <c r="C14" t="e" vm="26">
        <v>#VALUE!</v>
      </c>
      <c r="D14" s="1" t="str">
        <v>N/A</v>
      </c>
      <c r="E14" s="1">
        <v>1</v>
      </c>
      <c r="F14" s="1">
        <v>3</v>
      </c>
      <c r="G14" s="1">
        <v>4</v>
      </c>
      <c r="H14" s="1" t="str">
        <v>Architecture</v>
      </c>
    </row>
    <row r="15" spans="2:8">
      <c r="B15" s="35">
        <v>0</v>
      </c>
      <c r="C15" t="e" vm="27">
        <v>#VALUE!</v>
      </c>
      <c r="D15" s="1">
        <v>1</v>
      </c>
      <c r="E15" s="1">
        <v>2</v>
      </c>
      <c r="F15" s="1">
        <v>2</v>
      </c>
      <c r="G15" s="1">
        <v>3</v>
      </c>
      <c r="H15" s="1" t="str">
        <v>Architecture</v>
      </c>
    </row>
    <row r="16" spans="2:8">
      <c r="B16" s="35">
        <v>0</v>
      </c>
      <c r="C16" t="e" vm="28">
        <v>#VALUE!</v>
      </c>
      <c r="D16" s="1" t="str">
        <v>N/A</v>
      </c>
      <c r="E16" s="1" t="str">
        <v>N/A</v>
      </c>
      <c r="F16" s="1">
        <v>2</v>
      </c>
      <c r="G16" s="1">
        <v>3</v>
      </c>
      <c r="H16" s="1" t="str">
        <v>Architecture</v>
      </c>
    </row>
    <row r="17" spans="2:8">
      <c r="B17" s="35">
        <v>0</v>
      </c>
      <c r="C17" t="e" vm="29">
        <v>#VALUE!</v>
      </c>
      <c r="D17" s="1" t="str">
        <v>N/A</v>
      </c>
      <c r="E17" s="1">
        <v>1</v>
      </c>
      <c r="F17" s="1">
        <v>2</v>
      </c>
      <c r="G17" s="1">
        <v>3</v>
      </c>
      <c r="H17" s="1" t="str">
        <v>Architecture</v>
      </c>
    </row>
    <row r="18" spans="2:8">
      <c r="B18" s="35">
        <v>0</v>
      </c>
      <c r="C18" t="e" vm="30">
        <v>#VALUE!</v>
      </c>
      <c r="D18" s="1" t="str">
        <v>N/A</v>
      </c>
      <c r="E18" s="1">
        <v>1</v>
      </c>
      <c r="F18" s="1">
        <v>2</v>
      </c>
      <c r="G18" s="1">
        <v>4</v>
      </c>
      <c r="H18" s="1" t="str">
        <v>Architecture</v>
      </c>
    </row>
    <row r="19" spans="2:8">
      <c r="B19" s="35">
        <v>0</v>
      </c>
      <c r="C19" t="e" vm="31">
        <v>#VALUE!</v>
      </c>
      <c r="D19" s="1" t="str">
        <v>N/A</v>
      </c>
      <c r="E19" s="1">
        <v>1</v>
      </c>
      <c r="F19" s="1">
        <v>2</v>
      </c>
      <c r="G19" s="1">
        <v>3</v>
      </c>
      <c r="H19" s="1" t="str">
        <v>Architecture</v>
      </c>
    </row>
    <row r="20" spans="2:8">
      <c r="B20" s="35">
        <v>0</v>
      </c>
      <c r="C20" t="e" vm="32">
        <v>#VALUE!</v>
      </c>
      <c r="D20" s="1">
        <v>1</v>
      </c>
      <c r="E20" s="1">
        <v>2</v>
      </c>
      <c r="F20" s="1">
        <v>3</v>
      </c>
      <c r="G20" s="1">
        <v>4</v>
      </c>
      <c r="H20" s="1" t="str">
        <v>Architecture</v>
      </c>
    </row>
    <row r="21" spans="2:8">
      <c r="B21" s="35" t="str">
        <v>ONE OF</v>
      </c>
      <c r="C21" t="e" vm="34">
        <v>#VALUE!</v>
      </c>
      <c r="D21" s="1">
        <v>1</v>
      </c>
      <c r="E21" s="1">
        <v>2</v>
      </c>
      <c r="F21" s="1">
        <v>3</v>
      </c>
      <c r="G21" s="1">
        <v>4</v>
      </c>
      <c r="H21" s="1" t="str">
        <v>Architecture</v>
      </c>
    </row>
    <row r="22" spans="2:8">
      <c r="B22" s="35" t="str">
        <v>ONE OF</v>
      </c>
      <c r="C22" t="e" vm="35">
        <v>#VALUE!</v>
      </c>
      <c r="D22" s="1">
        <v>1</v>
      </c>
      <c r="E22" s="1">
        <v>2</v>
      </c>
      <c r="F22" s="1">
        <v>3</v>
      </c>
      <c r="G22" s="1">
        <v>3</v>
      </c>
      <c r="H22" s="1" t="str">
        <v>Architecture</v>
      </c>
    </row>
    <row r="23" spans="2:8">
      <c r="B23" s="35" t="str">
        <v>ONE OF</v>
      </c>
      <c r="C23" t="e" vm="36">
        <v>#VALUE!</v>
      </c>
      <c r="D23" s="1">
        <v>1</v>
      </c>
      <c r="E23" s="1">
        <v>2</v>
      </c>
      <c r="F23" s="1">
        <v>3</v>
      </c>
      <c r="G23" s="1">
        <v>3</v>
      </c>
      <c r="H23" s="1" t="str">
        <v>Architecture</v>
      </c>
    </row>
    <row r="24" spans="2:8">
      <c r="B24" s="35">
        <v>0</v>
      </c>
      <c r="C24" t="e" vm="38">
        <v>#VALUE!</v>
      </c>
      <c r="D24" s="1">
        <v>2</v>
      </c>
      <c r="E24" s="1">
        <v>3</v>
      </c>
      <c r="F24" s="1">
        <v>4</v>
      </c>
      <c r="G24" s="1">
        <v>4</v>
      </c>
      <c r="H24" s="1" t="str">
        <v>Computer Science</v>
      </c>
    </row>
    <row r="25" spans="2:8">
      <c r="B25" s="35">
        <v>0</v>
      </c>
      <c r="C25" t="e" vm="39">
        <v>#VALUE!</v>
      </c>
      <c r="D25" s="1">
        <v>2</v>
      </c>
      <c r="E25" s="1">
        <v>3</v>
      </c>
      <c r="F25" s="1">
        <v>4</v>
      </c>
      <c r="G25" s="1">
        <v>4</v>
      </c>
      <c r="H25" s="1" t="str">
        <v>Computer Science</v>
      </c>
    </row>
    <row r="26" spans="2:8">
      <c r="B26" s="35">
        <v>0</v>
      </c>
      <c r="C26" t="e" vm="40">
        <v>#VALUE!</v>
      </c>
      <c r="D26" s="1">
        <v>2</v>
      </c>
      <c r="E26" s="1">
        <v>3</v>
      </c>
      <c r="F26" s="1">
        <v>4</v>
      </c>
      <c r="G26" s="1">
        <v>4</v>
      </c>
      <c r="H26" s="1" t="str">
        <v>Computer Science</v>
      </c>
    </row>
    <row r="27" spans="2:8">
      <c r="B27" s="35">
        <v>0</v>
      </c>
      <c r="C27" t="e" vm="41">
        <v>#VALUE!</v>
      </c>
      <c r="D27" s="1">
        <v>2</v>
      </c>
      <c r="E27" s="1">
        <v>3</v>
      </c>
      <c r="F27" s="1">
        <v>4</v>
      </c>
      <c r="G27" s="1">
        <v>4</v>
      </c>
      <c r="H27" s="1" t="str">
        <v>Computer Science</v>
      </c>
    </row>
    <row r="28" spans="2:8">
      <c r="B28" s="35">
        <v>0</v>
      </c>
      <c r="C28" t="e" vm="42">
        <v>#VALUE!</v>
      </c>
      <c r="D28" s="1">
        <v>1</v>
      </c>
      <c r="E28" s="1">
        <v>2</v>
      </c>
      <c r="F28" s="1">
        <v>3</v>
      </c>
      <c r="G28" s="1">
        <v>4</v>
      </c>
      <c r="H28" s="1" t="str">
        <v>Computer Science</v>
      </c>
    </row>
    <row r="29" spans="2:8">
      <c r="B29" s="35">
        <v>0</v>
      </c>
      <c r="C29" t="e" vm="43">
        <v>#VALUE!</v>
      </c>
      <c r="D29" s="1">
        <v>2</v>
      </c>
      <c r="E29" s="1">
        <v>3</v>
      </c>
      <c r="F29" s="1">
        <v>4</v>
      </c>
      <c r="G29" s="1">
        <v>4</v>
      </c>
      <c r="H29" s="1" t="str">
        <v>Computer Science</v>
      </c>
    </row>
    <row r="30" spans="2:8">
      <c r="B30" s="35">
        <v>0</v>
      </c>
      <c r="C30" t="e" vm="44">
        <v>#VALUE!</v>
      </c>
      <c r="D30" s="1">
        <v>2</v>
      </c>
      <c r="E30" s="1">
        <v>3</v>
      </c>
      <c r="F30" s="1">
        <v>4</v>
      </c>
      <c r="G30" s="1">
        <v>4</v>
      </c>
      <c r="H30" s="1" t="str">
        <v>Computer Science</v>
      </c>
    </row>
    <row r="31" spans="2:8">
      <c r="B31" s="35">
        <v>0</v>
      </c>
      <c r="C31" t="e" vm="45">
        <v>#VALUE!</v>
      </c>
      <c r="D31" s="1">
        <v>2</v>
      </c>
      <c r="E31" s="1">
        <v>3</v>
      </c>
      <c r="F31" s="1">
        <v>4</v>
      </c>
      <c r="G31" s="1">
        <v>4</v>
      </c>
      <c r="H31" s="1" t="str">
        <v>Computer Science</v>
      </c>
    </row>
    <row r="32" spans="2:8">
      <c r="B32" s="35">
        <v>0</v>
      </c>
      <c r="C32" t="e" vm="46">
        <v>#VALUE!</v>
      </c>
      <c r="D32" s="1">
        <v>2</v>
      </c>
      <c r="E32" s="1">
        <v>3</v>
      </c>
      <c r="F32" s="1">
        <v>4</v>
      </c>
      <c r="G32" s="1">
        <v>4</v>
      </c>
      <c r="H32" s="1" t="str">
        <v>Computer Science</v>
      </c>
    </row>
    <row r="33" spans="2:8">
      <c r="B33" s="35">
        <v>0</v>
      </c>
      <c r="C33" t="e" vm="47">
        <v>#VALUE!</v>
      </c>
      <c r="D33" s="1">
        <v>1</v>
      </c>
      <c r="E33" s="1">
        <v>2</v>
      </c>
      <c r="F33" s="1">
        <v>3</v>
      </c>
      <c r="G33" s="1">
        <v>3</v>
      </c>
      <c r="H33" s="1" t="str">
        <v>Computer Science</v>
      </c>
    </row>
    <row r="34" spans="2:8">
      <c r="B34" s="35">
        <v>0</v>
      </c>
      <c r="C34" t="e" vm="48">
        <v>#VALUE!</v>
      </c>
      <c r="D34" s="1">
        <v>2</v>
      </c>
      <c r="E34" s="1">
        <v>3</v>
      </c>
      <c r="F34" s="1">
        <v>4</v>
      </c>
      <c r="G34" s="1">
        <v>5</v>
      </c>
      <c r="H34" s="1" t="str">
        <v>Data Persistence</v>
      </c>
    </row>
    <row r="35" spans="2:8">
      <c r="B35" s="35">
        <v>0</v>
      </c>
      <c r="C35" t="e" vm="49">
        <v>#VALUE!</v>
      </c>
      <c r="D35" s="1">
        <v>1</v>
      </c>
      <c r="E35" s="1">
        <v>2</v>
      </c>
      <c r="F35" s="1">
        <v>3</v>
      </c>
      <c r="G35" s="1">
        <v>4</v>
      </c>
      <c r="H35" s="1" t="str">
        <v>Data Persistence</v>
      </c>
    </row>
    <row r="36" spans="2:8">
      <c r="B36" s="35">
        <v>0</v>
      </c>
      <c r="C36" t="e" vm="50">
        <v>#VALUE!</v>
      </c>
      <c r="D36" s="1">
        <v>2</v>
      </c>
      <c r="E36" s="1">
        <v>3</v>
      </c>
      <c r="F36" s="1">
        <v>4</v>
      </c>
      <c r="G36" s="1">
        <v>5</v>
      </c>
      <c r="H36" s="1" t="str">
        <v>Data Persistence</v>
      </c>
    </row>
    <row r="37" spans="2:8">
      <c r="B37" s="35">
        <v>0</v>
      </c>
      <c r="C37" t="e" vm="51">
        <v>#VALUE!</v>
      </c>
      <c r="D37" s="1">
        <v>2</v>
      </c>
      <c r="E37" s="1">
        <v>3</v>
      </c>
      <c r="F37" s="1">
        <v>4</v>
      </c>
      <c r="G37" s="1">
        <v>5</v>
      </c>
      <c r="H37" s="1" t="str">
        <v>Data Persistence</v>
      </c>
    </row>
    <row r="38" spans="2:8">
      <c r="B38" s="35">
        <v>0</v>
      </c>
      <c r="C38" t="e" vm="52">
        <v>#VALUE!</v>
      </c>
      <c r="D38" s="1">
        <v>1</v>
      </c>
      <c r="E38" s="1">
        <v>2</v>
      </c>
      <c r="F38" s="1">
        <v>3</v>
      </c>
      <c r="G38" s="1">
        <v>4</v>
      </c>
      <c r="H38" s="1" t="str">
        <v>Data Persistence</v>
      </c>
    </row>
    <row r="39" spans="2:8">
      <c r="B39" s="35">
        <v>0</v>
      </c>
      <c r="C39" t="e" vm="53">
        <v>#VALUE!</v>
      </c>
      <c r="D39" s="1">
        <v>2</v>
      </c>
      <c r="E39" s="1">
        <v>3</v>
      </c>
      <c r="F39" s="1">
        <v>4</v>
      </c>
      <c r="G39" s="1">
        <v>5</v>
      </c>
      <c r="H39" s="1" t="str">
        <v>Data Persistence</v>
      </c>
    </row>
    <row r="40" spans="2:8">
      <c r="B40" s="35">
        <v>0</v>
      </c>
      <c r="C40" t="e" vm="54">
        <v>#VALUE!</v>
      </c>
      <c r="D40" s="1">
        <v>2</v>
      </c>
      <c r="E40" s="1">
        <v>3</v>
      </c>
      <c r="F40" s="1">
        <v>4</v>
      </c>
      <c r="G40" s="1">
        <v>5</v>
      </c>
      <c r="H40" s="1" t="str">
        <v>DevOps</v>
      </c>
    </row>
    <row r="41" spans="2:8">
      <c r="B41" s="35">
        <v>0</v>
      </c>
      <c r="C41" t="e" vm="55">
        <v>#VALUE!</v>
      </c>
      <c r="D41" s="1" t="str">
        <v>N/A</v>
      </c>
      <c r="E41" s="1">
        <v>1</v>
      </c>
      <c r="F41" s="1">
        <v>2</v>
      </c>
      <c r="G41" s="1">
        <v>3</v>
      </c>
      <c r="H41" s="1" t="str">
        <v>DevOps</v>
      </c>
    </row>
    <row r="42" spans="2:8">
      <c r="B42" s="35">
        <v>0</v>
      </c>
      <c r="C42" t="e" vm="56">
        <v>#VALUE!</v>
      </c>
      <c r="D42" s="1">
        <v>3</v>
      </c>
      <c r="E42" s="1">
        <v>4</v>
      </c>
      <c r="F42" s="1">
        <v>4</v>
      </c>
      <c r="G42" s="1">
        <v>4</v>
      </c>
      <c r="H42" s="1" t="str">
        <v>DevOps</v>
      </c>
    </row>
    <row r="43" spans="2:8">
      <c r="B43" s="35">
        <v>0</v>
      </c>
      <c r="C43" t="e" vm="57">
        <v>#VALUE!</v>
      </c>
      <c r="D43" s="1">
        <v>1</v>
      </c>
      <c r="E43" s="1">
        <v>2</v>
      </c>
      <c r="F43" s="1">
        <v>3</v>
      </c>
      <c r="G43" s="1">
        <v>4</v>
      </c>
      <c r="H43" s="1" t="str">
        <v>DevOps</v>
      </c>
    </row>
    <row r="44" spans="2:8">
      <c r="B44" s="35">
        <v>0</v>
      </c>
      <c r="C44" t="e" vm="58">
        <v>#VALUE!</v>
      </c>
      <c r="D44" s="1">
        <v>1</v>
      </c>
      <c r="E44" s="1">
        <v>1</v>
      </c>
      <c r="F44" s="1">
        <v>2</v>
      </c>
      <c r="G44" s="1">
        <v>3</v>
      </c>
      <c r="H44" s="1" t="str">
        <v>DevOps</v>
      </c>
    </row>
    <row r="45" spans="2:8">
      <c r="B45" s="35">
        <v>0</v>
      </c>
      <c r="C45" t="e" vm="59">
        <v>#VALUE!</v>
      </c>
      <c r="D45" s="1" t="str">
        <v>N/A</v>
      </c>
      <c r="E45" s="1">
        <v>1</v>
      </c>
      <c r="F45" s="1">
        <v>2</v>
      </c>
      <c r="G45" s="1">
        <v>3</v>
      </c>
      <c r="H45" s="1" t="str">
        <v>DevOps</v>
      </c>
    </row>
    <row r="46" spans="2:8">
      <c r="B46" s="35">
        <v>0</v>
      </c>
      <c r="C46" t="e" vm="60">
        <v>#VALUE!</v>
      </c>
      <c r="D46" s="1">
        <v>2</v>
      </c>
      <c r="E46" s="1">
        <v>3</v>
      </c>
      <c r="F46" s="1">
        <v>3</v>
      </c>
      <c r="G46" s="1">
        <v>4</v>
      </c>
      <c r="H46" s="1" t="str">
        <v>Networks</v>
      </c>
    </row>
    <row r="47" spans="2:8">
      <c r="B47" s="35">
        <v>0</v>
      </c>
      <c r="C47" t="e" vm="61">
        <v>#VALUE!</v>
      </c>
      <c r="D47" s="1">
        <v>2</v>
      </c>
      <c r="E47" s="1">
        <v>3</v>
      </c>
      <c r="F47" s="1">
        <v>3</v>
      </c>
      <c r="G47" s="1">
        <v>4</v>
      </c>
      <c r="H47" s="1" t="str">
        <v>Networks</v>
      </c>
    </row>
    <row r="48" spans="2:8">
      <c r="B48" s="35">
        <v>0</v>
      </c>
      <c r="C48" t="e" vm="62">
        <v>#VALUE!</v>
      </c>
      <c r="D48" s="1">
        <v>1</v>
      </c>
      <c r="E48" s="1">
        <v>2</v>
      </c>
      <c r="F48" s="1">
        <v>3</v>
      </c>
      <c r="G48" s="1">
        <v>4</v>
      </c>
      <c r="H48" s="1" t="str">
        <v>Networks</v>
      </c>
    </row>
    <row r="49" spans="2:8">
      <c r="B49" s="35">
        <v>0</v>
      </c>
      <c r="C49" t="e" vm="63">
        <v>#VALUE!</v>
      </c>
      <c r="D49" s="1">
        <v>1</v>
      </c>
      <c r="E49" s="1">
        <v>2</v>
      </c>
      <c r="F49" s="1">
        <v>3</v>
      </c>
      <c r="G49" s="1">
        <v>4</v>
      </c>
      <c r="H49" s="1" t="str">
        <v>Networks</v>
      </c>
    </row>
    <row r="50" spans="2:8">
      <c r="B50" s="35">
        <v>0</v>
      </c>
      <c r="C50" t="e" vm="64">
        <v>#VALUE!</v>
      </c>
      <c r="D50" s="1">
        <v>2</v>
      </c>
      <c r="E50" s="1">
        <v>3</v>
      </c>
      <c r="F50" s="1">
        <v>4</v>
      </c>
      <c r="G50" s="1">
        <v>5</v>
      </c>
      <c r="H50" s="1" t="str">
        <v>Networks</v>
      </c>
    </row>
    <row r="51" spans="2:8">
      <c r="B51" s="35">
        <v>0</v>
      </c>
      <c r="C51" t="e" vm="65">
        <v>#VALUE!</v>
      </c>
      <c r="D51" s="1">
        <v>1</v>
      </c>
      <c r="E51" s="1">
        <v>2</v>
      </c>
      <c r="F51" s="1">
        <v>3</v>
      </c>
      <c r="G51" s="1">
        <v>4</v>
      </c>
      <c r="H51" s="1" t="str">
        <v>Networks</v>
      </c>
    </row>
    <row r="52" spans="2:8">
      <c r="B52" s="35">
        <v>0</v>
      </c>
      <c r="C52" t="e" vm="66">
        <v>#VALUE!</v>
      </c>
      <c r="D52" s="1">
        <v>1</v>
      </c>
      <c r="E52" s="1">
        <v>2</v>
      </c>
      <c r="F52" s="1">
        <v>3</v>
      </c>
      <c r="G52" s="1">
        <v>4</v>
      </c>
      <c r="H52" s="1" t="str">
        <v>Networks</v>
      </c>
    </row>
    <row r="53" spans="2:8">
      <c r="B53" s="35">
        <v>0</v>
      </c>
      <c r="C53" t="e" vm="67">
        <v>#VALUE!</v>
      </c>
      <c r="D53" s="1">
        <v>1</v>
      </c>
      <c r="E53" s="1">
        <v>2</v>
      </c>
      <c r="F53" s="1">
        <v>3</v>
      </c>
      <c r="G53" s="1">
        <v>4</v>
      </c>
      <c r="H53" s="1" t="str">
        <v>Networks</v>
      </c>
    </row>
    <row r="54" spans="2:8">
      <c r="B54" s="35">
        <v>0</v>
      </c>
      <c r="C54" t="e" vm="68">
        <v>#VALUE!</v>
      </c>
      <c r="D54" s="1">
        <v>3</v>
      </c>
      <c r="E54" s="1">
        <v>3</v>
      </c>
      <c r="F54" s="1">
        <v>4</v>
      </c>
      <c r="G54" s="1">
        <v>4</v>
      </c>
      <c r="H54" s="1" t="str">
        <v>Patterns &amp; Practices</v>
      </c>
    </row>
    <row r="55" spans="2:8">
      <c r="B55" s="35">
        <v>0</v>
      </c>
      <c r="C55" t="e" vm="69">
        <v>#VALUE!</v>
      </c>
      <c r="D55" s="1">
        <v>2</v>
      </c>
      <c r="E55" s="1">
        <v>3</v>
      </c>
      <c r="F55" s="1">
        <v>4</v>
      </c>
      <c r="G55" s="1">
        <v>4</v>
      </c>
      <c r="H55" s="1" t="str">
        <v>Patterns &amp; Practices</v>
      </c>
    </row>
    <row r="56" spans="2:8">
      <c r="B56" s="35">
        <v>0</v>
      </c>
      <c r="C56" t="e" vm="70">
        <v>#VALUE!</v>
      </c>
      <c r="D56" s="1">
        <v>1</v>
      </c>
      <c r="E56" s="1">
        <v>2</v>
      </c>
      <c r="F56" s="1">
        <v>3</v>
      </c>
      <c r="G56" s="1">
        <v>4</v>
      </c>
      <c r="H56" s="1" t="str">
        <v>Patterns &amp; Practices</v>
      </c>
    </row>
    <row r="57" spans="2:8">
      <c r="B57" s="35">
        <v>0</v>
      </c>
      <c r="C57" t="e" vm="71">
        <v>#VALUE!</v>
      </c>
      <c r="D57" s="1">
        <v>2</v>
      </c>
      <c r="E57" s="1">
        <v>3</v>
      </c>
      <c r="F57" s="1">
        <v>4</v>
      </c>
      <c r="G57" s="1">
        <v>5</v>
      </c>
      <c r="H57" s="1" t="str">
        <v>Patterns &amp; Practices</v>
      </c>
    </row>
    <row r="58" spans="2:8">
      <c r="B58" s="35">
        <v>0</v>
      </c>
      <c r="C58" t="e" vm="72">
        <v>#VALUE!</v>
      </c>
      <c r="D58" s="1">
        <v>2</v>
      </c>
      <c r="E58" s="1">
        <v>3</v>
      </c>
      <c r="F58" s="1">
        <v>4</v>
      </c>
      <c r="G58" s="1">
        <v>5</v>
      </c>
      <c r="H58" s="1" t="str">
        <v>Patterns &amp; Practices</v>
      </c>
    </row>
    <row r="59" spans="2:8">
      <c r="B59" s="35">
        <v>0</v>
      </c>
      <c r="C59" t="e" vm="73">
        <v>#VALUE!</v>
      </c>
      <c r="D59" s="1">
        <v>2</v>
      </c>
      <c r="E59" s="1">
        <v>3</v>
      </c>
      <c r="F59" s="1">
        <v>4</v>
      </c>
      <c r="G59" s="1">
        <v>5</v>
      </c>
      <c r="H59" s="1" t="str">
        <v>Patterns &amp; Practices</v>
      </c>
    </row>
    <row r="60" spans="2:8">
      <c r="B60" s="35">
        <v>0</v>
      </c>
      <c r="C60" t="e" vm="74">
        <v>#VALUE!</v>
      </c>
      <c r="D60" s="1">
        <v>3</v>
      </c>
      <c r="E60" s="1">
        <v>3</v>
      </c>
      <c r="F60" s="1">
        <v>4</v>
      </c>
      <c r="G60" s="1">
        <v>4</v>
      </c>
      <c r="H60" s="1" t="str">
        <v>Patterns &amp; Practices</v>
      </c>
    </row>
    <row r="61" spans="2:8">
      <c r="B61" s="35">
        <v>0</v>
      </c>
      <c r="C61" t="e" vm="75">
        <v>#VALUE!</v>
      </c>
      <c r="D61" s="1" t="str">
        <v>N/A</v>
      </c>
      <c r="E61" s="1">
        <v>1</v>
      </c>
      <c r="F61" s="1">
        <v>3</v>
      </c>
      <c r="G61" s="1">
        <v>4</v>
      </c>
      <c r="H61" s="1" t="str">
        <v>Patterns &amp; Practices</v>
      </c>
    </row>
    <row r="62" spans="2:8">
      <c r="B62" s="35">
        <v>0</v>
      </c>
      <c r="C62" t="e" vm="76">
        <v>#VALUE!</v>
      </c>
      <c r="D62" s="1">
        <v>2</v>
      </c>
      <c r="E62" s="1">
        <v>3</v>
      </c>
      <c r="F62" s="1">
        <v>4</v>
      </c>
      <c r="G62" s="1">
        <v>4</v>
      </c>
      <c r="H62" s="1" t="str">
        <v>Patterns &amp; Practices</v>
      </c>
    </row>
    <row r="63" spans="2:8">
      <c r="B63" s="35">
        <v>0</v>
      </c>
      <c r="C63" t="e" vm="77">
        <v>#VALUE!</v>
      </c>
      <c r="D63" s="1">
        <v>2</v>
      </c>
      <c r="E63" s="1">
        <v>3</v>
      </c>
      <c r="F63" s="1">
        <v>4</v>
      </c>
      <c r="G63" s="1">
        <v>4</v>
      </c>
      <c r="H63" s="1" t="str">
        <v>Patterns &amp; Practices</v>
      </c>
    </row>
    <row r="64" spans="2:8">
      <c r="B64" s="35">
        <v>0</v>
      </c>
      <c r="C64" t="e" vm="78">
        <v>#VALUE!</v>
      </c>
      <c r="D64" s="1">
        <v>2</v>
      </c>
      <c r="E64" s="1">
        <v>3</v>
      </c>
      <c r="F64" s="1">
        <v>4</v>
      </c>
      <c r="G64" s="1">
        <v>4</v>
      </c>
      <c r="H64" s="1" t="str">
        <v>Patterns &amp; Practices</v>
      </c>
    </row>
    <row r="65" spans="2:8">
      <c r="B65" s="35">
        <v>0</v>
      </c>
      <c r="C65" t="e" vm="79">
        <v>#VALUE!</v>
      </c>
      <c r="D65" s="1">
        <v>2</v>
      </c>
      <c r="E65" s="1">
        <v>3</v>
      </c>
      <c r="F65" s="1">
        <v>4</v>
      </c>
      <c r="G65" s="1">
        <v>4</v>
      </c>
      <c r="H65" s="1" t="str">
        <v>Patterns &amp; Practices</v>
      </c>
    </row>
    <row r="66" spans="2:8">
      <c r="B66" s="35">
        <v>0</v>
      </c>
      <c r="C66" t="e" vm="80">
        <v>#VALUE!</v>
      </c>
      <c r="D66" s="1">
        <v>1</v>
      </c>
      <c r="E66" s="1">
        <v>2</v>
      </c>
      <c r="F66" s="1">
        <v>3</v>
      </c>
      <c r="G66" s="1">
        <v>4</v>
      </c>
      <c r="H66" s="1" t="str">
        <v>Patterns &amp; Practices</v>
      </c>
    </row>
    <row r="67" spans="2:8">
      <c r="B67" s="35">
        <v>0</v>
      </c>
      <c r="C67" t="e" vm="81">
        <v>#VALUE!</v>
      </c>
      <c r="D67" s="1">
        <v>2</v>
      </c>
      <c r="E67" s="1">
        <v>3</v>
      </c>
      <c r="F67" s="1">
        <v>4</v>
      </c>
      <c r="G67" s="1">
        <v>4</v>
      </c>
      <c r="H67" s="1" t="str">
        <v>Patterns &amp; Practices</v>
      </c>
    </row>
    <row r="68" spans="2:8">
      <c r="B68" s="35">
        <v>0</v>
      </c>
      <c r="C68" t="e" vm="82">
        <v>#VALUE!</v>
      </c>
      <c r="D68" s="1">
        <v>3</v>
      </c>
      <c r="E68" s="1">
        <v>4</v>
      </c>
      <c r="F68" s="1">
        <v>4</v>
      </c>
      <c r="G68" s="1">
        <v>4</v>
      </c>
      <c r="H68" s="1" t="str">
        <v>Security</v>
      </c>
    </row>
    <row r="69" spans="2:8">
      <c r="B69" s="35">
        <v>0</v>
      </c>
      <c r="C69" t="e" vm="83">
        <v>#VALUE!</v>
      </c>
      <c r="D69" s="1">
        <v>1</v>
      </c>
      <c r="E69" s="1">
        <v>2</v>
      </c>
      <c r="F69" s="1">
        <v>3</v>
      </c>
      <c r="G69" s="1">
        <v>4</v>
      </c>
      <c r="H69" s="1" t="str">
        <v>Security</v>
      </c>
    </row>
    <row r="70" spans="2:8">
      <c r="B70" s="35">
        <v>0</v>
      </c>
      <c r="C70" t="e" vm="84">
        <v>#VALUE!</v>
      </c>
      <c r="D70" s="1">
        <v>1</v>
      </c>
      <c r="E70" s="1">
        <v>2</v>
      </c>
      <c r="F70" s="1">
        <v>3</v>
      </c>
      <c r="G70" s="1">
        <v>4</v>
      </c>
      <c r="H70" s="1" t="str">
        <v>Security</v>
      </c>
    </row>
    <row r="71" spans="2:8">
      <c r="B71" s="35">
        <v>0</v>
      </c>
      <c r="C71" t="e" vm="88">
        <v>#VALUE!</v>
      </c>
      <c r="D71" s="1">
        <v>2</v>
      </c>
      <c r="E71" s="1">
        <v>2</v>
      </c>
      <c r="F71" s="1">
        <v>4</v>
      </c>
      <c r="G71" s="1">
        <v>4</v>
      </c>
      <c r="H71" s="1" t="str">
        <v>Security</v>
      </c>
    </row>
    <row r="72" spans="2:8">
      <c r="B72" s="35">
        <v>0</v>
      </c>
      <c r="C72" t="e" vm="89">
        <v>#VALUE!</v>
      </c>
      <c r="D72" s="1">
        <v>1</v>
      </c>
      <c r="E72" s="1">
        <v>1</v>
      </c>
      <c r="F72" s="1">
        <v>2</v>
      </c>
      <c r="G72" s="1">
        <v>2</v>
      </c>
      <c r="H72" s="1" t="str">
        <v>Security</v>
      </c>
    </row>
    <row r="73" spans="2:8">
      <c r="B73" s="35">
        <v>0</v>
      </c>
      <c r="C73" t="e" vm="90">
        <v>#VALUE!</v>
      </c>
      <c r="D73" s="1">
        <v>2</v>
      </c>
      <c r="E73" s="1">
        <v>3</v>
      </c>
      <c r="F73" s="1">
        <v>4</v>
      </c>
      <c r="G73" s="1">
        <v>4</v>
      </c>
      <c r="H73" s="1" t="str">
        <v>Security</v>
      </c>
    </row>
    <row r="74" spans="2:8">
      <c r="B74" s="35">
        <v>0</v>
      </c>
      <c r="C74" t="e" vm="91">
        <v>#VALUE!</v>
      </c>
      <c r="D74" s="1" t="str">
        <v>N/A</v>
      </c>
      <c r="E74" s="1" t="str">
        <v>N/A</v>
      </c>
      <c r="F74" s="1">
        <v>1</v>
      </c>
      <c r="G74" s="1">
        <v>3</v>
      </c>
      <c r="H74" s="1" t="str">
        <v>Security</v>
      </c>
    </row>
    <row r="75" spans="2:8">
      <c r="B75" s="35">
        <v>0</v>
      </c>
      <c r="C75" t="e" vm="92">
        <v>#VALUE!</v>
      </c>
      <c r="D75" s="1">
        <v>2</v>
      </c>
      <c r="E75" s="1">
        <v>3</v>
      </c>
      <c r="F75" s="1">
        <v>4</v>
      </c>
      <c r="G75" s="1">
        <v>5</v>
      </c>
      <c r="H75" s="1" t="str">
        <v>SDLC</v>
      </c>
    </row>
    <row r="76" spans="2:8">
      <c r="B76" s="35">
        <v>0</v>
      </c>
      <c r="C76" t="e" vm="93">
        <v>#VALUE!</v>
      </c>
      <c r="D76" s="1">
        <v>1</v>
      </c>
      <c r="E76" s="1">
        <v>2</v>
      </c>
      <c r="F76" s="1">
        <v>4</v>
      </c>
      <c r="G76" s="1">
        <v>4</v>
      </c>
      <c r="H76" s="1" t="str">
        <v>SDLC</v>
      </c>
    </row>
    <row r="77" spans="2:8">
      <c r="B77" s="35">
        <v>0</v>
      </c>
      <c r="C77" t="e" vm="94">
        <v>#VALUE!</v>
      </c>
      <c r="D77" s="1" t="str">
        <v>N/A</v>
      </c>
      <c r="E77" s="1" t="str">
        <v>N/A</v>
      </c>
      <c r="F77" s="1">
        <v>1</v>
      </c>
      <c r="G77" s="1">
        <v>2</v>
      </c>
      <c r="H77" s="1" t="str">
        <v>SDLC</v>
      </c>
    </row>
    <row r="78" spans="2:8">
      <c r="B78" s="35">
        <v>0</v>
      </c>
      <c r="C78" t="e" vm="95">
        <v>#VALUE!</v>
      </c>
      <c r="D78" s="1">
        <v>2</v>
      </c>
      <c r="E78" s="1">
        <v>3</v>
      </c>
      <c r="F78" s="1">
        <v>4</v>
      </c>
      <c r="G78" s="1">
        <v>5</v>
      </c>
      <c r="H78" s="1" t="str">
        <v>SDLC</v>
      </c>
    </row>
    <row r="79" spans="2:8">
      <c r="B79" s="35">
        <v>0</v>
      </c>
      <c r="C79" t="e" vm="96">
        <v>#VALUE!</v>
      </c>
      <c r="D79" s="1">
        <v>1</v>
      </c>
      <c r="E79" s="1">
        <v>2</v>
      </c>
      <c r="F79" s="1">
        <v>3</v>
      </c>
      <c r="G79" s="1">
        <v>3</v>
      </c>
      <c r="H79" s="1" t="str">
        <v>AI/LLM</v>
      </c>
    </row>
    <row r="80" spans="2:8">
      <c r="B80" s="35">
        <v>0</v>
      </c>
      <c r="C80" t="e" vm="97">
        <v>#VALUE!</v>
      </c>
      <c r="D80" s="1">
        <v>1</v>
      </c>
      <c r="E80" s="1">
        <v>2</v>
      </c>
      <c r="F80" s="1">
        <v>3</v>
      </c>
      <c r="G80" s="1">
        <v>3</v>
      </c>
      <c r="H80" s="1" t="str">
        <v>AI/LLM</v>
      </c>
    </row>
    <row r="81" spans="2:8">
      <c r="B81" s="35">
        <v>0</v>
      </c>
      <c r="C81" t="e" vm="98">
        <v>#VALUE!</v>
      </c>
      <c r="D81" s="1">
        <v>1</v>
      </c>
      <c r="E81" s="1">
        <v>2</v>
      </c>
      <c r="F81" s="1">
        <v>3</v>
      </c>
      <c r="G81" s="1">
        <v>3</v>
      </c>
      <c r="H81" s="1" t="str">
        <v>AI/LLM</v>
      </c>
    </row>
    <row r="82" spans="2:8">
      <c r="B82" s="35">
        <v>0</v>
      </c>
      <c r="C82" t="e" vm="99">
        <v>#VALUE!</v>
      </c>
      <c r="D82" s="1">
        <v>1</v>
      </c>
      <c r="E82" s="1">
        <v>2</v>
      </c>
      <c r="F82" s="1">
        <v>3</v>
      </c>
      <c r="G82" s="1">
        <v>3</v>
      </c>
      <c r="H82" s="1" t="str">
        <v>AI/LLM</v>
      </c>
    </row>
    <row r="83" spans="2:8">
      <c r="B83" s="35">
        <v>0</v>
      </c>
      <c r="C83" t="e" vm="100">
        <v>#VALUE!</v>
      </c>
      <c r="D83" s="1">
        <v>1</v>
      </c>
      <c r="E83" s="1">
        <v>2</v>
      </c>
      <c r="F83" s="1">
        <v>3</v>
      </c>
      <c r="G83" s="1">
        <v>3</v>
      </c>
      <c r="H83" s="1" t="str">
        <v>AI/LLM</v>
      </c>
    </row>
    <row r="84" spans="2:8">
      <c r="B84" s="35">
        <v>0</v>
      </c>
      <c r="C84" t="e" vm="101">
        <v>#VALUE!</v>
      </c>
      <c r="D84" s="1">
        <v>1</v>
      </c>
      <c r="E84" s="1">
        <v>2</v>
      </c>
      <c r="F84" s="1">
        <v>3</v>
      </c>
      <c r="G84" s="1">
        <v>3</v>
      </c>
      <c r="H84" s="1" t="str">
        <v>AI/LLM</v>
      </c>
    </row>
  </sheetData>
  <autoFilter ref="B2:H79" xr:uid="{EC445499-BF74-496C-B8F9-701E295E6398}"/>
  <conditionalFormatting sqref="D3">
    <cfRule type="colorScale" priority="6">
      <colorScale>
        <cfvo type="min"/>
        <cfvo type="percentile" val="50"/>
        <cfvo type="max"/>
        <color rgb="FFFDE4DF"/>
        <color rgb="FFFFF7D1"/>
        <color rgb="FFC9EFE4"/>
      </colorScale>
    </cfRule>
  </conditionalFormatting>
  <conditionalFormatting sqref="D3:G120">
    <cfRule type="cellIs" dxfId="9" priority="1" stopIfTrue="1" operator="equal">
      <formula>1</formula>
    </cfRule>
    <cfRule type="cellIs" dxfId="8" priority="2" stopIfTrue="1" operator="equal">
      <formula>2</formula>
    </cfRule>
    <cfRule type="cellIs" dxfId="7" priority="3" stopIfTrue="1" operator="equal">
      <formula>3</formula>
    </cfRule>
    <cfRule type="cellIs" dxfId="6" priority="4" stopIfTrue="1" operator="equal">
      <formula>4</formula>
    </cfRule>
    <cfRule type="cellIs" dxfId="5" priority="5" stopIfTrue="1" operator="equal">
      <formula>5</formula>
    </cfRule>
  </conditionalFormatting>
  <conditionalFormatting sqref="D4:G100 E3:G3">
    <cfRule type="colorScale" priority="7">
      <colorScale>
        <cfvo type="min"/>
        <cfvo type="percentile" val="50"/>
        <cfvo type="max"/>
        <color rgb="FFFDE4DF"/>
        <color rgb="FFFFF7D1"/>
        <color rgb="FFC9EFE4"/>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12FB-9EC0-4315-9EBF-11D5F69AAFDD}">
  <dimension ref="B2:H98"/>
  <sheetViews>
    <sheetView topLeftCell="N32" workbookViewId="0">
      <selection activeCell="N32" sqref="N32"/>
    </sheetView>
  </sheetViews>
  <sheetFormatPr defaultRowHeight="14.45"/>
  <cols>
    <col min="2" max="2" width="9.140625" style="35"/>
    <col min="3" max="3" width="41.7109375" bestFit="1" customWidth="1"/>
    <col min="4" max="7" width="12.28515625" style="1" customWidth="1"/>
    <col min="8" max="8" width="18.85546875" style="1" bestFit="1" customWidth="1"/>
  </cols>
  <sheetData>
    <row r="2" spans="2:8">
      <c r="B2" s="88" t="s">
        <v>17</v>
      </c>
      <c r="C2" s="89" t="s">
        <v>177</v>
      </c>
      <c r="D2" s="92" t="s">
        <v>9</v>
      </c>
      <c r="E2" s="90" t="s">
        <v>11</v>
      </c>
      <c r="F2" s="90" t="s">
        <v>13</v>
      </c>
      <c r="G2" s="90" t="s">
        <v>15</v>
      </c>
      <c r="H2" s="90" t="s">
        <v>19</v>
      </c>
    </row>
    <row r="3" spans="2:8">
      <c r="B3" s="35" t="str" cm="1">
        <f t="array" ref="B3:H98">_xlfn._xlws.FILTER(INDEX(groupedTable[],_xlfn.SEQUENCE(ROWS(groupedTable[])),_xlfn.XMATCH(B2:H2,groupedTable[#Headers])),(groupedTable[Spec]="Web")+(groupedTable[Spec]="General"),"")</f>
        <v>ONE OF</v>
      </c>
      <c r="C3" t="e" vm="1">
        <v>#VALUE!</v>
      </c>
      <c r="D3" s="87">
        <v>2</v>
      </c>
      <c r="E3" s="87">
        <v>3</v>
      </c>
      <c r="F3" s="87">
        <v>4</v>
      </c>
      <c r="G3" s="87">
        <v>5</v>
      </c>
      <c r="H3" s="1" t="str">
        <v>Programming</v>
      </c>
    </row>
    <row r="4" spans="2:8">
      <c r="B4" s="35" t="str">
        <v>ONE OF</v>
      </c>
      <c r="C4" t="e" vm="2">
        <v>#VALUE!</v>
      </c>
      <c r="D4" s="87">
        <v>2</v>
      </c>
      <c r="E4" s="87">
        <v>3</v>
      </c>
      <c r="F4" s="87">
        <v>4</v>
      </c>
      <c r="G4" s="87">
        <v>5</v>
      </c>
      <c r="H4" s="1" t="str">
        <v>Programming</v>
      </c>
    </row>
    <row r="5" spans="2:8">
      <c r="B5" s="35">
        <v>0</v>
      </c>
      <c r="C5" t="e" vm="3">
        <v>#VALUE!</v>
      </c>
      <c r="D5" s="87">
        <v>2</v>
      </c>
      <c r="E5" s="87">
        <v>3</v>
      </c>
      <c r="F5" s="87">
        <v>4</v>
      </c>
      <c r="G5" s="87">
        <v>5</v>
      </c>
      <c r="H5" s="1" t="str">
        <v>Programming</v>
      </c>
    </row>
    <row r="6" spans="2:8">
      <c r="B6" s="35" t="str">
        <v>ONE OF</v>
      </c>
      <c r="C6" t="e" vm="4">
        <v>#VALUE!</v>
      </c>
      <c r="D6" s="87">
        <v>2</v>
      </c>
      <c r="E6" s="87">
        <v>3</v>
      </c>
      <c r="F6" s="87">
        <v>4</v>
      </c>
      <c r="G6" s="87">
        <v>5</v>
      </c>
      <c r="H6" s="1" t="str">
        <v>Programming</v>
      </c>
    </row>
    <row r="7" spans="2:8">
      <c r="B7" s="35" t="str">
        <v>ONE OF</v>
      </c>
      <c r="C7" t="e" vm="5">
        <v>#VALUE!</v>
      </c>
      <c r="D7" s="87">
        <v>2</v>
      </c>
      <c r="E7" s="87">
        <v>3</v>
      </c>
      <c r="F7" s="87">
        <v>4</v>
      </c>
      <c r="G7" s="87">
        <v>5</v>
      </c>
      <c r="H7" s="1" t="str">
        <v>Programming</v>
      </c>
    </row>
    <row r="8" spans="2:8">
      <c r="B8" s="35" t="str">
        <v>ONE OF</v>
      </c>
      <c r="C8" t="e" vm="6">
        <v>#VALUE!</v>
      </c>
      <c r="D8" s="87">
        <v>2</v>
      </c>
      <c r="E8" s="87">
        <v>3</v>
      </c>
      <c r="F8" s="87">
        <v>4</v>
      </c>
      <c r="G8" s="87">
        <v>5</v>
      </c>
      <c r="H8" s="1" t="str">
        <v>Programming</v>
      </c>
    </row>
    <row r="9" spans="2:8">
      <c r="B9" s="35">
        <v>0</v>
      </c>
      <c r="C9" t="e" vm="7">
        <v>#VALUE!</v>
      </c>
      <c r="D9" s="1">
        <v>1</v>
      </c>
      <c r="E9" s="1">
        <v>2</v>
      </c>
      <c r="F9" s="1">
        <v>3</v>
      </c>
      <c r="G9" s="1">
        <v>4</v>
      </c>
      <c r="H9" s="1" t="str">
        <v>Programming</v>
      </c>
    </row>
    <row r="10" spans="2:8">
      <c r="B10" s="35" t="str">
        <v>(beta)</v>
      </c>
      <c r="C10" t="e" vm="8">
        <v>#VALUE!</v>
      </c>
      <c r="D10" s="1">
        <v>1</v>
      </c>
      <c r="E10" s="1">
        <v>1</v>
      </c>
      <c r="F10" s="1">
        <v>2</v>
      </c>
      <c r="G10" s="1">
        <v>2</v>
      </c>
      <c r="H10" s="1" t="str">
        <v>Programming</v>
      </c>
    </row>
    <row r="11" spans="2:8">
      <c r="B11" s="35" t="str">
        <v>(beta)</v>
      </c>
      <c r="C11" t="e" vm="9">
        <v>#VALUE!</v>
      </c>
      <c r="D11" s="1">
        <v>1</v>
      </c>
      <c r="E11" s="1">
        <v>1</v>
      </c>
      <c r="F11" s="1">
        <v>2</v>
      </c>
      <c r="G11" s="1">
        <v>2</v>
      </c>
      <c r="H11" s="1" t="str">
        <v>Programming</v>
      </c>
    </row>
    <row r="12" spans="2:8">
      <c r="B12" s="35" t="str">
        <v>(beta)</v>
      </c>
      <c r="C12" t="e" vm="10">
        <v>#VALUE!</v>
      </c>
      <c r="D12" s="1">
        <v>1</v>
      </c>
      <c r="E12" s="1">
        <v>2</v>
      </c>
      <c r="F12" s="1">
        <v>2</v>
      </c>
      <c r="G12" s="1">
        <v>2</v>
      </c>
      <c r="H12" s="1" t="str">
        <v>Programming</v>
      </c>
    </row>
    <row r="13" spans="2:8">
      <c r="B13" s="35">
        <v>0</v>
      </c>
      <c r="C13" t="e" vm="11">
        <v>#VALUE!</v>
      </c>
      <c r="D13" s="1">
        <v>1</v>
      </c>
      <c r="E13" s="1">
        <v>2</v>
      </c>
      <c r="F13" s="1">
        <v>3</v>
      </c>
      <c r="G13" s="1">
        <v>4</v>
      </c>
      <c r="H13" s="1" t="str">
        <v>Programming</v>
      </c>
    </row>
    <row r="14" spans="2:8">
      <c r="B14" s="35">
        <v>0</v>
      </c>
      <c r="C14" t="e" vm="17">
        <v>#VALUE!</v>
      </c>
      <c r="D14" s="1">
        <v>1</v>
      </c>
      <c r="E14" s="1">
        <v>3</v>
      </c>
      <c r="F14" s="1">
        <v>4</v>
      </c>
      <c r="G14" s="1">
        <v>4</v>
      </c>
      <c r="H14" s="1" t="str">
        <v>Architecture</v>
      </c>
    </row>
    <row r="15" spans="2:8">
      <c r="B15" s="35">
        <v>0</v>
      </c>
      <c r="C15" t="e" vm="18">
        <v>#VALUE!</v>
      </c>
      <c r="D15" s="1">
        <v>1</v>
      </c>
      <c r="E15" s="1">
        <v>3</v>
      </c>
      <c r="F15" s="1">
        <v>4</v>
      </c>
      <c r="G15" s="1">
        <v>4</v>
      </c>
      <c r="H15" s="1" t="str">
        <v>Architecture</v>
      </c>
    </row>
    <row r="16" spans="2:8">
      <c r="B16" s="35">
        <v>0</v>
      </c>
      <c r="C16" t="e" vm="19">
        <v>#VALUE!</v>
      </c>
      <c r="D16" s="1">
        <v>1</v>
      </c>
      <c r="E16" s="1">
        <v>2</v>
      </c>
      <c r="F16" s="1">
        <v>3</v>
      </c>
      <c r="G16" s="1">
        <v>4</v>
      </c>
      <c r="H16" s="1" t="str">
        <v>Architecture</v>
      </c>
    </row>
    <row r="17" spans="2:8">
      <c r="B17" s="35">
        <v>0</v>
      </c>
      <c r="C17" t="e" vm="20">
        <v>#VALUE!</v>
      </c>
      <c r="D17" s="1">
        <v>2</v>
      </c>
      <c r="E17" s="1">
        <v>3</v>
      </c>
      <c r="F17" s="1">
        <v>4</v>
      </c>
      <c r="G17" s="1">
        <v>5</v>
      </c>
      <c r="H17" s="1" t="str">
        <v>Architecture</v>
      </c>
    </row>
    <row r="18" spans="2:8">
      <c r="B18" s="35">
        <v>0</v>
      </c>
      <c r="C18" t="e" vm="21">
        <v>#VALUE!</v>
      </c>
      <c r="D18" s="1">
        <v>2</v>
      </c>
      <c r="E18" s="1">
        <v>3</v>
      </c>
      <c r="F18" s="1">
        <v>4</v>
      </c>
      <c r="G18" s="1">
        <v>5</v>
      </c>
      <c r="H18" s="1" t="str">
        <v>Architecture</v>
      </c>
    </row>
    <row r="19" spans="2:8">
      <c r="B19" s="35">
        <v>0</v>
      </c>
      <c r="C19" t="e" vm="22">
        <v>#VALUE!</v>
      </c>
      <c r="D19" s="1" t="str">
        <v>N/A</v>
      </c>
      <c r="E19" s="1">
        <v>1</v>
      </c>
      <c r="F19" s="1">
        <v>3</v>
      </c>
      <c r="G19" s="1">
        <v>4</v>
      </c>
      <c r="H19" s="1" t="str">
        <v>Architecture</v>
      </c>
    </row>
    <row r="20" spans="2:8">
      <c r="B20" s="35">
        <v>0</v>
      </c>
      <c r="C20" t="e" vm="23">
        <v>#VALUE!</v>
      </c>
      <c r="D20" s="1" t="str">
        <v>N/A</v>
      </c>
      <c r="E20" s="1">
        <v>1</v>
      </c>
      <c r="F20" s="1">
        <v>3</v>
      </c>
      <c r="G20" s="1">
        <v>5</v>
      </c>
      <c r="H20" s="1" t="str">
        <v>Architecture</v>
      </c>
    </row>
    <row r="21" spans="2:8">
      <c r="B21" s="35">
        <v>0</v>
      </c>
      <c r="C21" t="e" vm="24">
        <v>#VALUE!</v>
      </c>
      <c r="D21" s="1" t="str">
        <v>N/A</v>
      </c>
      <c r="E21" s="1">
        <v>1</v>
      </c>
      <c r="F21" s="1">
        <v>2</v>
      </c>
      <c r="G21" s="1">
        <v>3</v>
      </c>
      <c r="H21" s="1" t="str">
        <v>Architecture</v>
      </c>
    </row>
    <row r="22" spans="2:8">
      <c r="B22" s="35">
        <v>0</v>
      </c>
      <c r="C22" t="e" vm="25">
        <v>#VALUE!</v>
      </c>
      <c r="D22" s="1" t="str">
        <v>N/A</v>
      </c>
      <c r="E22" s="1">
        <v>1</v>
      </c>
      <c r="F22" s="1">
        <v>3</v>
      </c>
      <c r="G22" s="1">
        <v>3</v>
      </c>
      <c r="H22" s="1" t="str">
        <v>Architecture</v>
      </c>
    </row>
    <row r="23" spans="2:8">
      <c r="B23" s="35">
        <v>0</v>
      </c>
      <c r="C23" t="e" vm="26">
        <v>#VALUE!</v>
      </c>
      <c r="D23" s="1" t="str">
        <v>N/A</v>
      </c>
      <c r="E23" s="1">
        <v>1</v>
      </c>
      <c r="F23" s="1">
        <v>3</v>
      </c>
      <c r="G23" s="1">
        <v>4</v>
      </c>
      <c r="H23" s="1" t="str">
        <v>Architecture</v>
      </c>
    </row>
    <row r="24" spans="2:8">
      <c r="B24" s="35">
        <v>0</v>
      </c>
      <c r="C24" t="e" vm="27">
        <v>#VALUE!</v>
      </c>
      <c r="D24" s="1">
        <v>1</v>
      </c>
      <c r="E24" s="1">
        <v>2</v>
      </c>
      <c r="F24" s="1">
        <v>2</v>
      </c>
      <c r="G24" s="1">
        <v>3</v>
      </c>
      <c r="H24" s="1" t="str">
        <v>Architecture</v>
      </c>
    </row>
    <row r="25" spans="2:8">
      <c r="B25" s="35">
        <v>0</v>
      </c>
      <c r="C25" t="e" vm="28">
        <v>#VALUE!</v>
      </c>
      <c r="D25" s="1" t="str">
        <v>N/A</v>
      </c>
      <c r="E25" s="1" t="str">
        <v>N/A</v>
      </c>
      <c r="F25" s="1">
        <v>2</v>
      </c>
      <c r="G25" s="1">
        <v>3</v>
      </c>
      <c r="H25" s="1" t="str">
        <v>Architecture</v>
      </c>
    </row>
    <row r="26" spans="2:8">
      <c r="B26" s="35">
        <v>0</v>
      </c>
      <c r="C26" t="e" vm="29">
        <v>#VALUE!</v>
      </c>
      <c r="D26" s="1" t="str">
        <v>N/A</v>
      </c>
      <c r="E26" s="1">
        <v>1</v>
      </c>
      <c r="F26" s="1">
        <v>2</v>
      </c>
      <c r="G26" s="1">
        <v>3</v>
      </c>
      <c r="H26" s="1" t="str">
        <v>Architecture</v>
      </c>
    </row>
    <row r="27" spans="2:8">
      <c r="B27" s="35">
        <v>0</v>
      </c>
      <c r="C27" t="e" vm="30">
        <v>#VALUE!</v>
      </c>
      <c r="D27" s="1" t="str">
        <v>N/A</v>
      </c>
      <c r="E27" s="1">
        <v>1</v>
      </c>
      <c r="F27" s="1">
        <v>2</v>
      </c>
      <c r="G27" s="1">
        <v>4</v>
      </c>
      <c r="H27" s="1" t="str">
        <v>Architecture</v>
      </c>
    </row>
    <row r="28" spans="2:8">
      <c r="B28" s="35">
        <v>0</v>
      </c>
      <c r="C28" t="e" vm="31">
        <v>#VALUE!</v>
      </c>
      <c r="D28" s="1" t="str">
        <v>N/A</v>
      </c>
      <c r="E28" s="1">
        <v>1</v>
      </c>
      <c r="F28" s="1">
        <v>2</v>
      </c>
      <c r="G28" s="1">
        <v>3</v>
      </c>
      <c r="H28" s="1" t="str">
        <v>Architecture</v>
      </c>
    </row>
    <row r="29" spans="2:8">
      <c r="B29" s="35">
        <v>0</v>
      </c>
      <c r="C29" t="e" vm="32">
        <v>#VALUE!</v>
      </c>
      <c r="D29" s="1">
        <v>1</v>
      </c>
      <c r="E29" s="1">
        <v>2</v>
      </c>
      <c r="F29" s="1">
        <v>3</v>
      </c>
      <c r="G29" s="1">
        <v>4</v>
      </c>
      <c r="H29" s="1" t="str">
        <v>Architecture</v>
      </c>
    </row>
    <row r="30" spans="2:8">
      <c r="B30" s="35">
        <v>0</v>
      </c>
      <c r="C30" t="e" vm="33">
        <v>#VALUE!</v>
      </c>
      <c r="D30" s="1" t="str">
        <v>N/A</v>
      </c>
      <c r="E30" s="1">
        <v>1</v>
      </c>
      <c r="F30" s="1">
        <v>3</v>
      </c>
      <c r="G30" s="1">
        <v>3</v>
      </c>
      <c r="H30" s="1" t="str">
        <v>Architecture</v>
      </c>
    </row>
    <row r="31" spans="2:8">
      <c r="B31" s="35" t="str">
        <v>ONE OF</v>
      </c>
      <c r="C31" t="e" vm="34">
        <v>#VALUE!</v>
      </c>
      <c r="D31" s="1">
        <v>1</v>
      </c>
      <c r="E31" s="1">
        <v>2</v>
      </c>
      <c r="F31" s="1">
        <v>3</v>
      </c>
      <c r="G31" s="1">
        <v>4</v>
      </c>
      <c r="H31" s="1" t="str">
        <v>Architecture</v>
      </c>
    </row>
    <row r="32" spans="2:8">
      <c r="B32" s="35" t="str">
        <v>ONE OF</v>
      </c>
      <c r="C32" t="e" vm="35">
        <v>#VALUE!</v>
      </c>
      <c r="D32" s="1">
        <v>1</v>
      </c>
      <c r="E32" s="1">
        <v>2</v>
      </c>
      <c r="F32" s="1">
        <v>3</v>
      </c>
      <c r="G32" s="1">
        <v>3</v>
      </c>
      <c r="H32" s="1" t="str">
        <v>Architecture</v>
      </c>
    </row>
    <row r="33" spans="2:8">
      <c r="B33" s="35" t="str">
        <v>ONE OF</v>
      </c>
      <c r="C33" t="e" vm="36">
        <v>#VALUE!</v>
      </c>
      <c r="D33" s="1">
        <v>1</v>
      </c>
      <c r="E33" s="1">
        <v>2</v>
      </c>
      <c r="F33" s="1">
        <v>3</v>
      </c>
      <c r="G33" s="1">
        <v>3</v>
      </c>
      <c r="H33" s="1" t="str">
        <v>Architecture</v>
      </c>
    </row>
    <row r="34" spans="2:8">
      <c r="B34" s="35">
        <v>0</v>
      </c>
      <c r="C34" t="e" vm="37">
        <v>#VALUE!</v>
      </c>
      <c r="D34" s="1" t="str">
        <v>N/A</v>
      </c>
      <c r="E34" s="1">
        <v>1</v>
      </c>
      <c r="F34" s="1">
        <v>2</v>
      </c>
      <c r="G34" s="1">
        <v>3</v>
      </c>
      <c r="H34" s="1" t="str">
        <v>Architecture</v>
      </c>
    </row>
    <row r="35" spans="2:8">
      <c r="B35" s="35">
        <v>0</v>
      </c>
      <c r="C35" t="e" vm="38">
        <v>#VALUE!</v>
      </c>
      <c r="D35" s="1">
        <v>2</v>
      </c>
      <c r="E35" s="1">
        <v>3</v>
      </c>
      <c r="F35" s="1">
        <v>4</v>
      </c>
      <c r="G35" s="1">
        <v>4</v>
      </c>
      <c r="H35" s="1" t="str">
        <v>Computer Science</v>
      </c>
    </row>
    <row r="36" spans="2:8">
      <c r="B36" s="35">
        <v>0</v>
      </c>
      <c r="C36" t="e" vm="39">
        <v>#VALUE!</v>
      </c>
      <c r="D36" s="1">
        <v>2</v>
      </c>
      <c r="E36" s="1">
        <v>3</v>
      </c>
      <c r="F36" s="1">
        <v>4</v>
      </c>
      <c r="G36" s="1">
        <v>4</v>
      </c>
      <c r="H36" s="1" t="str">
        <v>Computer Science</v>
      </c>
    </row>
    <row r="37" spans="2:8">
      <c r="B37" s="35">
        <v>0</v>
      </c>
      <c r="C37" t="e" vm="40">
        <v>#VALUE!</v>
      </c>
      <c r="D37" s="1">
        <v>2</v>
      </c>
      <c r="E37" s="1">
        <v>3</v>
      </c>
      <c r="F37" s="1">
        <v>4</v>
      </c>
      <c r="G37" s="1">
        <v>4</v>
      </c>
      <c r="H37" s="1" t="str">
        <v>Computer Science</v>
      </c>
    </row>
    <row r="38" spans="2:8">
      <c r="B38" s="35">
        <v>0</v>
      </c>
      <c r="C38" t="e" vm="41">
        <v>#VALUE!</v>
      </c>
      <c r="D38" s="1">
        <v>2</v>
      </c>
      <c r="E38" s="1">
        <v>3</v>
      </c>
      <c r="F38" s="1">
        <v>4</v>
      </c>
      <c r="G38" s="1">
        <v>4</v>
      </c>
      <c r="H38" s="1" t="str">
        <v>Computer Science</v>
      </c>
    </row>
    <row r="39" spans="2:8">
      <c r="B39" s="35">
        <v>0</v>
      </c>
      <c r="C39" t="e" vm="42">
        <v>#VALUE!</v>
      </c>
      <c r="D39" s="1">
        <v>1</v>
      </c>
      <c r="E39" s="1">
        <v>2</v>
      </c>
      <c r="F39" s="1">
        <v>3</v>
      </c>
      <c r="G39" s="1">
        <v>4</v>
      </c>
      <c r="H39" s="1" t="str">
        <v>Computer Science</v>
      </c>
    </row>
    <row r="40" spans="2:8">
      <c r="B40" s="35">
        <v>0</v>
      </c>
      <c r="C40" t="e" vm="43">
        <v>#VALUE!</v>
      </c>
      <c r="D40" s="1">
        <v>2</v>
      </c>
      <c r="E40" s="1">
        <v>3</v>
      </c>
      <c r="F40" s="1">
        <v>4</v>
      </c>
      <c r="G40" s="1">
        <v>4</v>
      </c>
      <c r="H40" s="1" t="str">
        <v>Computer Science</v>
      </c>
    </row>
    <row r="41" spans="2:8">
      <c r="B41" s="35">
        <v>0</v>
      </c>
      <c r="C41" t="e" vm="44">
        <v>#VALUE!</v>
      </c>
      <c r="D41" s="1">
        <v>2</v>
      </c>
      <c r="E41" s="1">
        <v>3</v>
      </c>
      <c r="F41" s="1">
        <v>4</v>
      </c>
      <c r="G41" s="1">
        <v>4</v>
      </c>
      <c r="H41" s="1" t="str">
        <v>Computer Science</v>
      </c>
    </row>
    <row r="42" spans="2:8">
      <c r="B42" s="35">
        <v>0</v>
      </c>
      <c r="C42" t="e" vm="45">
        <v>#VALUE!</v>
      </c>
      <c r="D42" s="1">
        <v>2</v>
      </c>
      <c r="E42" s="1">
        <v>3</v>
      </c>
      <c r="F42" s="1">
        <v>4</v>
      </c>
      <c r="G42" s="1">
        <v>4</v>
      </c>
      <c r="H42" s="1" t="str">
        <v>Computer Science</v>
      </c>
    </row>
    <row r="43" spans="2:8">
      <c r="B43" s="35">
        <v>0</v>
      </c>
      <c r="C43" t="e" vm="46">
        <v>#VALUE!</v>
      </c>
      <c r="D43" s="1">
        <v>2</v>
      </c>
      <c r="E43" s="1">
        <v>3</v>
      </c>
      <c r="F43" s="1">
        <v>4</v>
      </c>
      <c r="G43" s="1">
        <v>4</v>
      </c>
      <c r="H43" s="1" t="str">
        <v>Computer Science</v>
      </c>
    </row>
    <row r="44" spans="2:8">
      <c r="B44" s="35">
        <v>0</v>
      </c>
      <c r="C44" t="e" vm="47">
        <v>#VALUE!</v>
      </c>
      <c r="D44" s="1">
        <v>1</v>
      </c>
      <c r="E44" s="1">
        <v>2</v>
      </c>
      <c r="F44" s="1">
        <v>3</v>
      </c>
      <c r="G44" s="1">
        <v>3</v>
      </c>
      <c r="H44" s="1" t="str">
        <v>Computer Science</v>
      </c>
    </row>
    <row r="45" spans="2:8">
      <c r="B45" s="35">
        <v>0</v>
      </c>
      <c r="C45" t="e" vm="48">
        <v>#VALUE!</v>
      </c>
      <c r="D45" s="1">
        <v>2</v>
      </c>
      <c r="E45" s="1">
        <v>3</v>
      </c>
      <c r="F45" s="1">
        <v>4</v>
      </c>
      <c r="G45" s="1">
        <v>5</v>
      </c>
      <c r="H45" s="1" t="str">
        <v>Data Persistence</v>
      </c>
    </row>
    <row r="46" spans="2:8">
      <c r="B46" s="35">
        <v>0</v>
      </c>
      <c r="C46" t="e" vm="49">
        <v>#VALUE!</v>
      </c>
      <c r="D46" s="1">
        <v>1</v>
      </c>
      <c r="E46" s="1">
        <v>2</v>
      </c>
      <c r="F46" s="1">
        <v>3</v>
      </c>
      <c r="G46" s="1">
        <v>4</v>
      </c>
      <c r="H46" s="1" t="str">
        <v>Data Persistence</v>
      </c>
    </row>
    <row r="47" spans="2:8">
      <c r="B47" s="35">
        <v>0</v>
      </c>
      <c r="C47" t="e" vm="50">
        <v>#VALUE!</v>
      </c>
      <c r="D47" s="1">
        <v>2</v>
      </c>
      <c r="E47" s="1">
        <v>3</v>
      </c>
      <c r="F47" s="1">
        <v>4</v>
      </c>
      <c r="G47" s="1">
        <v>5</v>
      </c>
      <c r="H47" s="1" t="str">
        <v>Data Persistence</v>
      </c>
    </row>
    <row r="48" spans="2:8">
      <c r="B48" s="35">
        <v>0</v>
      </c>
      <c r="C48" t="e" vm="51">
        <v>#VALUE!</v>
      </c>
      <c r="D48" s="1">
        <v>2</v>
      </c>
      <c r="E48" s="1">
        <v>3</v>
      </c>
      <c r="F48" s="1">
        <v>4</v>
      </c>
      <c r="G48" s="1">
        <v>5</v>
      </c>
      <c r="H48" s="1" t="str">
        <v>Data Persistence</v>
      </c>
    </row>
    <row r="49" spans="2:8">
      <c r="B49" s="35">
        <v>0</v>
      </c>
      <c r="C49" t="e" vm="52">
        <v>#VALUE!</v>
      </c>
      <c r="D49" s="1">
        <v>1</v>
      </c>
      <c r="E49" s="1">
        <v>2</v>
      </c>
      <c r="F49" s="1">
        <v>3</v>
      </c>
      <c r="G49" s="1">
        <v>4</v>
      </c>
      <c r="H49" s="1" t="str">
        <v>Data Persistence</v>
      </c>
    </row>
    <row r="50" spans="2:8">
      <c r="B50" s="35">
        <v>0</v>
      </c>
      <c r="C50" t="e" vm="53">
        <v>#VALUE!</v>
      </c>
      <c r="D50" s="1">
        <v>2</v>
      </c>
      <c r="E50" s="1">
        <v>3</v>
      </c>
      <c r="F50" s="1">
        <v>4</v>
      </c>
      <c r="G50" s="1">
        <v>5</v>
      </c>
      <c r="H50" s="1" t="str">
        <v>Data Persistence</v>
      </c>
    </row>
    <row r="51" spans="2:8">
      <c r="B51" s="35">
        <v>0</v>
      </c>
      <c r="C51" t="e" vm="54">
        <v>#VALUE!</v>
      </c>
      <c r="D51" s="1">
        <v>2</v>
      </c>
      <c r="E51" s="1">
        <v>3</v>
      </c>
      <c r="F51" s="1">
        <v>4</v>
      </c>
      <c r="G51" s="1">
        <v>5</v>
      </c>
      <c r="H51" s="1" t="str">
        <v>DevOps</v>
      </c>
    </row>
    <row r="52" spans="2:8">
      <c r="B52" s="35">
        <v>0</v>
      </c>
      <c r="C52" t="e" vm="55">
        <v>#VALUE!</v>
      </c>
      <c r="D52" s="1" t="str">
        <v>N/A</v>
      </c>
      <c r="E52" s="1">
        <v>1</v>
      </c>
      <c r="F52" s="1">
        <v>2</v>
      </c>
      <c r="G52" s="1">
        <v>3</v>
      </c>
      <c r="H52" s="1" t="str">
        <v>DevOps</v>
      </c>
    </row>
    <row r="53" spans="2:8">
      <c r="B53" s="35">
        <v>0</v>
      </c>
      <c r="C53" t="e" vm="56">
        <v>#VALUE!</v>
      </c>
      <c r="D53" s="1">
        <v>3</v>
      </c>
      <c r="E53" s="1">
        <v>4</v>
      </c>
      <c r="F53" s="1">
        <v>4</v>
      </c>
      <c r="G53" s="1">
        <v>4</v>
      </c>
      <c r="H53" s="1" t="str">
        <v>DevOps</v>
      </c>
    </row>
    <row r="54" spans="2:8">
      <c r="B54" s="35">
        <v>0</v>
      </c>
      <c r="C54" t="e" vm="57">
        <v>#VALUE!</v>
      </c>
      <c r="D54" s="1">
        <v>1</v>
      </c>
      <c r="E54" s="1">
        <v>2</v>
      </c>
      <c r="F54" s="1">
        <v>3</v>
      </c>
      <c r="G54" s="1">
        <v>4</v>
      </c>
      <c r="H54" s="1" t="str">
        <v>DevOps</v>
      </c>
    </row>
    <row r="55" spans="2:8">
      <c r="B55" s="35">
        <v>0</v>
      </c>
      <c r="C55" t="e" vm="58">
        <v>#VALUE!</v>
      </c>
      <c r="D55" s="1">
        <v>1</v>
      </c>
      <c r="E55" s="1">
        <v>1</v>
      </c>
      <c r="F55" s="1">
        <v>2</v>
      </c>
      <c r="G55" s="1">
        <v>3</v>
      </c>
      <c r="H55" s="1" t="str">
        <v>DevOps</v>
      </c>
    </row>
    <row r="56" spans="2:8">
      <c r="B56" s="35">
        <v>0</v>
      </c>
      <c r="C56" t="e" vm="59">
        <v>#VALUE!</v>
      </c>
      <c r="D56" s="1" t="str">
        <v>N/A</v>
      </c>
      <c r="E56" s="1">
        <v>1</v>
      </c>
      <c r="F56" s="1">
        <v>2</v>
      </c>
      <c r="G56" s="1">
        <v>3</v>
      </c>
      <c r="H56" s="1" t="str">
        <v>DevOps</v>
      </c>
    </row>
    <row r="57" spans="2:8">
      <c r="B57" s="35">
        <v>0</v>
      </c>
      <c r="C57" t="e" vm="60">
        <v>#VALUE!</v>
      </c>
      <c r="D57" s="1">
        <v>2</v>
      </c>
      <c r="E57" s="1">
        <v>3</v>
      </c>
      <c r="F57" s="1">
        <v>3</v>
      </c>
      <c r="G57" s="1">
        <v>4</v>
      </c>
      <c r="H57" s="1" t="str">
        <v>Networks</v>
      </c>
    </row>
    <row r="58" spans="2:8">
      <c r="B58" s="35">
        <v>0</v>
      </c>
      <c r="C58" t="e" vm="61">
        <v>#VALUE!</v>
      </c>
      <c r="D58" s="1">
        <v>2</v>
      </c>
      <c r="E58" s="1">
        <v>3</v>
      </c>
      <c r="F58" s="1">
        <v>3</v>
      </c>
      <c r="G58" s="1">
        <v>4</v>
      </c>
      <c r="H58" s="1" t="str">
        <v>Networks</v>
      </c>
    </row>
    <row r="59" spans="2:8">
      <c r="B59" s="35">
        <v>0</v>
      </c>
      <c r="C59" t="e" vm="62">
        <v>#VALUE!</v>
      </c>
      <c r="D59" s="1">
        <v>1</v>
      </c>
      <c r="E59" s="1">
        <v>2</v>
      </c>
      <c r="F59" s="1">
        <v>3</v>
      </c>
      <c r="G59" s="1">
        <v>4</v>
      </c>
      <c r="H59" s="1" t="str">
        <v>Networks</v>
      </c>
    </row>
    <row r="60" spans="2:8">
      <c r="B60" s="35">
        <v>0</v>
      </c>
      <c r="C60" t="e" vm="63">
        <v>#VALUE!</v>
      </c>
      <c r="D60" s="1">
        <v>1</v>
      </c>
      <c r="E60" s="1">
        <v>2</v>
      </c>
      <c r="F60" s="1">
        <v>3</v>
      </c>
      <c r="G60" s="1">
        <v>4</v>
      </c>
      <c r="H60" s="1" t="str">
        <v>Networks</v>
      </c>
    </row>
    <row r="61" spans="2:8">
      <c r="B61" s="35">
        <v>0</v>
      </c>
      <c r="C61" t="e" vm="64">
        <v>#VALUE!</v>
      </c>
      <c r="D61" s="1">
        <v>2</v>
      </c>
      <c r="E61" s="1">
        <v>3</v>
      </c>
      <c r="F61" s="1">
        <v>4</v>
      </c>
      <c r="G61" s="1">
        <v>5</v>
      </c>
      <c r="H61" s="1" t="str">
        <v>Networks</v>
      </c>
    </row>
    <row r="62" spans="2:8">
      <c r="B62" s="35">
        <v>0</v>
      </c>
      <c r="C62" t="e" vm="65">
        <v>#VALUE!</v>
      </c>
      <c r="D62" s="1">
        <v>1</v>
      </c>
      <c r="E62" s="1">
        <v>2</v>
      </c>
      <c r="F62" s="1">
        <v>3</v>
      </c>
      <c r="G62" s="1">
        <v>4</v>
      </c>
      <c r="H62" s="1" t="str">
        <v>Networks</v>
      </c>
    </row>
    <row r="63" spans="2:8">
      <c r="B63" s="35">
        <v>0</v>
      </c>
      <c r="C63" t="e" vm="66">
        <v>#VALUE!</v>
      </c>
      <c r="D63" s="1">
        <v>1</v>
      </c>
      <c r="E63" s="1">
        <v>2</v>
      </c>
      <c r="F63" s="1">
        <v>3</v>
      </c>
      <c r="G63" s="1">
        <v>4</v>
      </c>
      <c r="H63" s="1" t="str">
        <v>Networks</v>
      </c>
    </row>
    <row r="64" spans="2:8">
      <c r="B64" s="35">
        <v>0</v>
      </c>
      <c r="C64" t="e" vm="67">
        <v>#VALUE!</v>
      </c>
      <c r="D64" s="1">
        <v>1</v>
      </c>
      <c r="E64" s="1">
        <v>2</v>
      </c>
      <c r="F64" s="1">
        <v>3</v>
      </c>
      <c r="G64" s="1">
        <v>4</v>
      </c>
      <c r="H64" s="1" t="str">
        <v>Networks</v>
      </c>
    </row>
    <row r="65" spans="2:8">
      <c r="B65" s="35">
        <v>0</v>
      </c>
      <c r="C65" t="e" vm="68">
        <v>#VALUE!</v>
      </c>
      <c r="D65" s="1">
        <v>3</v>
      </c>
      <c r="E65" s="1">
        <v>3</v>
      </c>
      <c r="F65" s="1">
        <v>4</v>
      </c>
      <c r="G65" s="1">
        <v>4</v>
      </c>
      <c r="H65" s="1" t="str">
        <v>Patterns &amp; Practices</v>
      </c>
    </row>
    <row r="66" spans="2:8">
      <c r="B66" s="35">
        <v>0</v>
      </c>
      <c r="C66" t="e" vm="69">
        <v>#VALUE!</v>
      </c>
      <c r="D66" s="1">
        <v>2</v>
      </c>
      <c r="E66" s="1">
        <v>3</v>
      </c>
      <c r="F66" s="1">
        <v>4</v>
      </c>
      <c r="G66" s="1">
        <v>4</v>
      </c>
      <c r="H66" s="1" t="str">
        <v>Patterns &amp; Practices</v>
      </c>
    </row>
    <row r="67" spans="2:8">
      <c r="B67" s="35">
        <v>0</v>
      </c>
      <c r="C67" t="e" vm="70">
        <v>#VALUE!</v>
      </c>
      <c r="D67" s="1">
        <v>1</v>
      </c>
      <c r="E67" s="1">
        <v>2</v>
      </c>
      <c r="F67" s="1">
        <v>3</v>
      </c>
      <c r="G67" s="1">
        <v>4</v>
      </c>
      <c r="H67" s="1" t="str">
        <v>Patterns &amp; Practices</v>
      </c>
    </row>
    <row r="68" spans="2:8">
      <c r="B68" s="35">
        <v>0</v>
      </c>
      <c r="C68" t="e" vm="71">
        <v>#VALUE!</v>
      </c>
      <c r="D68" s="1">
        <v>2</v>
      </c>
      <c r="E68" s="1">
        <v>3</v>
      </c>
      <c r="F68" s="1">
        <v>4</v>
      </c>
      <c r="G68" s="1">
        <v>5</v>
      </c>
      <c r="H68" s="1" t="str">
        <v>Patterns &amp; Practices</v>
      </c>
    </row>
    <row r="69" spans="2:8">
      <c r="B69" s="35">
        <v>0</v>
      </c>
      <c r="C69" t="e" vm="72">
        <v>#VALUE!</v>
      </c>
      <c r="D69" s="1">
        <v>2</v>
      </c>
      <c r="E69" s="1">
        <v>3</v>
      </c>
      <c r="F69" s="1">
        <v>4</v>
      </c>
      <c r="G69" s="1">
        <v>5</v>
      </c>
      <c r="H69" s="1" t="str">
        <v>Patterns &amp; Practices</v>
      </c>
    </row>
    <row r="70" spans="2:8">
      <c r="B70" s="35">
        <v>0</v>
      </c>
      <c r="C70" t="e" vm="73">
        <v>#VALUE!</v>
      </c>
      <c r="D70" s="1">
        <v>2</v>
      </c>
      <c r="E70" s="1">
        <v>3</v>
      </c>
      <c r="F70" s="1">
        <v>4</v>
      </c>
      <c r="G70" s="1">
        <v>5</v>
      </c>
      <c r="H70" s="1" t="str">
        <v>Patterns &amp; Practices</v>
      </c>
    </row>
    <row r="71" spans="2:8">
      <c r="B71" s="35">
        <v>0</v>
      </c>
      <c r="C71" t="e" vm="74">
        <v>#VALUE!</v>
      </c>
      <c r="D71" s="1">
        <v>3</v>
      </c>
      <c r="E71" s="1">
        <v>3</v>
      </c>
      <c r="F71" s="1">
        <v>4</v>
      </c>
      <c r="G71" s="1">
        <v>4</v>
      </c>
      <c r="H71" s="1" t="str">
        <v>Patterns &amp; Practices</v>
      </c>
    </row>
    <row r="72" spans="2:8">
      <c r="B72" s="35">
        <v>0</v>
      </c>
      <c r="C72" t="e" vm="75">
        <v>#VALUE!</v>
      </c>
      <c r="D72" s="1" t="str">
        <v>N/A</v>
      </c>
      <c r="E72" s="1">
        <v>1</v>
      </c>
      <c r="F72" s="1">
        <v>3</v>
      </c>
      <c r="G72" s="1">
        <v>4</v>
      </c>
      <c r="H72" s="1" t="str">
        <v>Patterns &amp; Practices</v>
      </c>
    </row>
    <row r="73" spans="2:8">
      <c r="B73" s="35">
        <v>0</v>
      </c>
      <c r="C73" t="e" vm="76">
        <v>#VALUE!</v>
      </c>
      <c r="D73" s="1">
        <v>2</v>
      </c>
      <c r="E73" s="1">
        <v>3</v>
      </c>
      <c r="F73" s="1">
        <v>4</v>
      </c>
      <c r="G73" s="1">
        <v>4</v>
      </c>
      <c r="H73" s="1" t="str">
        <v>Patterns &amp; Practices</v>
      </c>
    </row>
    <row r="74" spans="2:8">
      <c r="B74" s="35">
        <v>0</v>
      </c>
      <c r="C74" t="e" vm="77">
        <v>#VALUE!</v>
      </c>
      <c r="D74" s="1">
        <v>2</v>
      </c>
      <c r="E74" s="1">
        <v>3</v>
      </c>
      <c r="F74" s="1">
        <v>4</v>
      </c>
      <c r="G74" s="1">
        <v>4</v>
      </c>
      <c r="H74" s="1" t="str">
        <v>Patterns &amp; Practices</v>
      </c>
    </row>
    <row r="75" spans="2:8">
      <c r="B75" s="35">
        <v>0</v>
      </c>
      <c r="C75" t="e" vm="78">
        <v>#VALUE!</v>
      </c>
      <c r="D75" s="1">
        <v>2</v>
      </c>
      <c r="E75" s="1">
        <v>3</v>
      </c>
      <c r="F75" s="1">
        <v>4</v>
      </c>
      <c r="G75" s="1">
        <v>4</v>
      </c>
      <c r="H75" s="1" t="str">
        <v>Patterns &amp; Practices</v>
      </c>
    </row>
    <row r="76" spans="2:8">
      <c r="B76" s="35">
        <v>0</v>
      </c>
      <c r="C76" t="e" vm="79">
        <v>#VALUE!</v>
      </c>
      <c r="D76" s="1">
        <v>2</v>
      </c>
      <c r="E76" s="1">
        <v>3</v>
      </c>
      <c r="F76" s="1">
        <v>4</v>
      </c>
      <c r="G76" s="1">
        <v>4</v>
      </c>
      <c r="H76" s="1" t="str">
        <v>Patterns &amp; Practices</v>
      </c>
    </row>
    <row r="77" spans="2:8">
      <c r="B77" s="35">
        <v>0</v>
      </c>
      <c r="C77" t="e" vm="80">
        <v>#VALUE!</v>
      </c>
      <c r="D77" s="1">
        <v>1</v>
      </c>
      <c r="E77" s="1">
        <v>2</v>
      </c>
      <c r="F77" s="1">
        <v>3</v>
      </c>
      <c r="G77" s="1">
        <v>4</v>
      </c>
      <c r="H77" s="1" t="str">
        <v>Patterns &amp; Practices</v>
      </c>
    </row>
    <row r="78" spans="2:8">
      <c r="B78" s="35">
        <v>0</v>
      </c>
      <c r="C78" t="e" vm="81">
        <v>#VALUE!</v>
      </c>
      <c r="D78" s="1">
        <v>2</v>
      </c>
      <c r="E78" s="1">
        <v>3</v>
      </c>
      <c r="F78" s="1">
        <v>4</v>
      </c>
      <c r="G78" s="1">
        <v>4</v>
      </c>
      <c r="H78" s="1" t="str">
        <v>Patterns &amp; Practices</v>
      </c>
    </row>
    <row r="79" spans="2:8">
      <c r="B79" s="35">
        <v>0</v>
      </c>
      <c r="C79" t="e" vm="82">
        <v>#VALUE!</v>
      </c>
      <c r="D79" s="1">
        <v>3</v>
      </c>
      <c r="E79" s="1">
        <v>4</v>
      </c>
      <c r="F79" s="1">
        <v>4</v>
      </c>
      <c r="G79" s="1">
        <v>4</v>
      </c>
      <c r="H79" s="1" t="str">
        <v>Security</v>
      </c>
    </row>
    <row r="80" spans="2:8">
      <c r="B80" s="35">
        <v>0</v>
      </c>
      <c r="C80" t="e" vm="83">
        <v>#VALUE!</v>
      </c>
      <c r="D80" s="1">
        <v>1</v>
      </c>
      <c r="E80" s="1">
        <v>2</v>
      </c>
      <c r="F80" s="1">
        <v>3</v>
      </c>
      <c r="G80" s="1">
        <v>4</v>
      </c>
      <c r="H80" s="1" t="str">
        <v>Security</v>
      </c>
    </row>
    <row r="81" spans="2:8">
      <c r="B81" s="35">
        <v>0</v>
      </c>
      <c r="C81" t="e" vm="84">
        <v>#VALUE!</v>
      </c>
      <c r="D81" s="1">
        <v>1</v>
      </c>
      <c r="E81" s="1">
        <v>2</v>
      </c>
      <c r="F81" s="1">
        <v>3</v>
      </c>
      <c r="G81" s="1">
        <v>4</v>
      </c>
      <c r="H81" s="1" t="str">
        <v>Security</v>
      </c>
    </row>
    <row r="82" spans="2:8">
      <c r="B82" s="35">
        <v>0</v>
      </c>
      <c r="C82" t="e" vm="85">
        <v>#VALUE!</v>
      </c>
      <c r="D82" s="1">
        <v>2</v>
      </c>
      <c r="E82" s="1">
        <v>3</v>
      </c>
      <c r="F82" s="1">
        <v>4</v>
      </c>
      <c r="G82" s="1">
        <v>4</v>
      </c>
      <c r="H82" s="1" t="str">
        <v>Security</v>
      </c>
    </row>
    <row r="83" spans="2:8">
      <c r="B83" s="35">
        <v>0</v>
      </c>
      <c r="C83" t="e" vm="86">
        <v>#VALUE!</v>
      </c>
      <c r="D83" s="1" t="str">
        <v>N/A</v>
      </c>
      <c r="E83" s="1">
        <v>1</v>
      </c>
      <c r="F83" s="1">
        <v>3</v>
      </c>
      <c r="G83" s="1">
        <v>5</v>
      </c>
      <c r="H83" s="1" t="str">
        <v>Security</v>
      </c>
    </row>
    <row r="84" spans="2:8">
      <c r="B84" s="35">
        <v>0</v>
      </c>
      <c r="C84" t="e" vm="87">
        <v>#VALUE!</v>
      </c>
      <c r="D84" s="1">
        <v>1</v>
      </c>
      <c r="E84" s="1">
        <v>2</v>
      </c>
      <c r="F84" s="1">
        <v>3</v>
      </c>
      <c r="G84" s="1">
        <v>4</v>
      </c>
      <c r="H84" s="1" t="str">
        <v>Security</v>
      </c>
    </row>
    <row r="85" spans="2:8">
      <c r="B85" s="35">
        <v>0</v>
      </c>
      <c r="C85" t="e" vm="88">
        <v>#VALUE!</v>
      </c>
      <c r="D85" s="1">
        <v>2</v>
      </c>
      <c r="E85" s="1">
        <v>2</v>
      </c>
      <c r="F85" s="1">
        <v>4</v>
      </c>
      <c r="G85" s="1">
        <v>4</v>
      </c>
      <c r="H85" s="1" t="str">
        <v>Security</v>
      </c>
    </row>
    <row r="86" spans="2:8">
      <c r="B86" s="35">
        <v>0</v>
      </c>
      <c r="C86" t="e" vm="89">
        <v>#VALUE!</v>
      </c>
      <c r="D86" s="1">
        <v>1</v>
      </c>
      <c r="E86" s="1">
        <v>1</v>
      </c>
      <c r="F86" s="1">
        <v>2</v>
      </c>
      <c r="G86" s="1">
        <v>2</v>
      </c>
      <c r="H86" s="1" t="str">
        <v>Security</v>
      </c>
    </row>
    <row r="87" spans="2:8">
      <c r="B87" s="35">
        <v>0</v>
      </c>
      <c r="C87" t="e" vm="90">
        <v>#VALUE!</v>
      </c>
      <c r="D87" s="1">
        <v>2</v>
      </c>
      <c r="E87" s="1">
        <v>3</v>
      </c>
      <c r="F87" s="1">
        <v>4</v>
      </c>
      <c r="G87" s="1">
        <v>4</v>
      </c>
      <c r="H87" s="1" t="str">
        <v>Security</v>
      </c>
    </row>
    <row r="88" spans="2:8">
      <c r="B88" s="35">
        <v>0</v>
      </c>
      <c r="C88" t="e" vm="91">
        <v>#VALUE!</v>
      </c>
      <c r="D88" s="1" t="str">
        <v>N/A</v>
      </c>
      <c r="E88" s="1" t="str">
        <v>N/A</v>
      </c>
      <c r="F88" s="1">
        <v>1</v>
      </c>
      <c r="G88" s="1">
        <v>3</v>
      </c>
      <c r="H88" s="1" t="str">
        <v>Security</v>
      </c>
    </row>
    <row r="89" spans="2:8">
      <c r="B89" s="35">
        <v>0</v>
      </c>
      <c r="C89" t="e" vm="92">
        <v>#VALUE!</v>
      </c>
      <c r="D89" s="1">
        <v>2</v>
      </c>
      <c r="E89" s="1">
        <v>3</v>
      </c>
      <c r="F89" s="1">
        <v>4</v>
      </c>
      <c r="G89" s="1">
        <v>5</v>
      </c>
      <c r="H89" s="1" t="str">
        <v>SDLC</v>
      </c>
    </row>
    <row r="90" spans="2:8">
      <c r="B90" s="35">
        <v>0</v>
      </c>
      <c r="C90" t="e" vm="93">
        <v>#VALUE!</v>
      </c>
      <c r="D90" s="1">
        <v>1</v>
      </c>
      <c r="E90" s="1">
        <v>2</v>
      </c>
      <c r="F90" s="1">
        <v>4</v>
      </c>
      <c r="G90" s="1">
        <v>4</v>
      </c>
      <c r="H90" s="1" t="str">
        <v>SDLC</v>
      </c>
    </row>
    <row r="91" spans="2:8">
      <c r="B91" s="35">
        <v>0</v>
      </c>
      <c r="C91" t="e" vm="94">
        <v>#VALUE!</v>
      </c>
      <c r="D91" s="1" t="str">
        <v>N/A</v>
      </c>
      <c r="E91" s="1" t="str">
        <v>N/A</v>
      </c>
      <c r="F91" s="1">
        <v>1</v>
      </c>
      <c r="G91" s="1">
        <v>2</v>
      </c>
      <c r="H91" s="1" t="str">
        <v>SDLC</v>
      </c>
    </row>
    <row r="92" spans="2:8">
      <c r="B92" s="35">
        <v>0</v>
      </c>
      <c r="C92" t="e" vm="95">
        <v>#VALUE!</v>
      </c>
      <c r="D92" s="1">
        <v>2</v>
      </c>
      <c r="E92" s="1">
        <v>3</v>
      </c>
      <c r="F92" s="1">
        <v>4</v>
      </c>
      <c r="G92" s="1">
        <v>5</v>
      </c>
      <c r="H92" s="1" t="str">
        <v>SDLC</v>
      </c>
    </row>
    <row r="93" spans="2:8">
      <c r="B93" s="35">
        <v>0</v>
      </c>
      <c r="C93" t="e" vm="96">
        <v>#VALUE!</v>
      </c>
      <c r="D93" s="1">
        <v>1</v>
      </c>
      <c r="E93" s="1">
        <v>2</v>
      </c>
      <c r="F93" s="1">
        <v>3</v>
      </c>
      <c r="G93" s="1">
        <v>3</v>
      </c>
      <c r="H93" s="1" t="str">
        <v>AI/LLM</v>
      </c>
    </row>
    <row r="94" spans="2:8">
      <c r="B94" s="35">
        <v>0</v>
      </c>
      <c r="C94" t="e" vm="97">
        <v>#VALUE!</v>
      </c>
      <c r="D94" s="1">
        <v>1</v>
      </c>
      <c r="E94" s="1">
        <v>2</v>
      </c>
      <c r="F94" s="1">
        <v>3</v>
      </c>
      <c r="G94" s="1">
        <v>3</v>
      </c>
      <c r="H94" s="1" t="str">
        <v>AI/LLM</v>
      </c>
    </row>
    <row r="95" spans="2:8">
      <c r="B95" s="35">
        <v>0</v>
      </c>
      <c r="C95" t="e" vm="98">
        <v>#VALUE!</v>
      </c>
      <c r="D95" s="1">
        <v>1</v>
      </c>
      <c r="E95" s="1">
        <v>2</v>
      </c>
      <c r="F95" s="1">
        <v>3</v>
      </c>
      <c r="G95" s="1">
        <v>3</v>
      </c>
      <c r="H95" s="1" t="str">
        <v>AI/LLM</v>
      </c>
    </row>
    <row r="96" spans="2:8">
      <c r="B96" s="35">
        <v>0</v>
      </c>
      <c r="C96" t="e" vm="99">
        <v>#VALUE!</v>
      </c>
      <c r="D96" s="1">
        <v>1</v>
      </c>
      <c r="E96" s="1">
        <v>2</v>
      </c>
      <c r="F96" s="1">
        <v>3</v>
      </c>
      <c r="G96" s="1">
        <v>3</v>
      </c>
      <c r="H96" s="1" t="str">
        <v>AI/LLM</v>
      </c>
    </row>
    <row r="97" spans="2:8">
      <c r="B97" s="35">
        <v>0</v>
      </c>
      <c r="C97" t="e" vm="100">
        <v>#VALUE!</v>
      </c>
      <c r="D97" s="1">
        <v>1</v>
      </c>
      <c r="E97" s="1">
        <v>2</v>
      </c>
      <c r="F97" s="1">
        <v>3</v>
      </c>
      <c r="G97" s="1">
        <v>3</v>
      </c>
      <c r="H97" s="1" t="str">
        <v>AI/LLM</v>
      </c>
    </row>
    <row r="98" spans="2:8">
      <c r="B98" s="35">
        <v>0</v>
      </c>
      <c r="C98" t="e" vm="101">
        <v>#VALUE!</v>
      </c>
      <c r="D98" s="1">
        <v>1</v>
      </c>
      <c r="E98" s="1">
        <v>2</v>
      </c>
      <c r="F98" s="1">
        <v>3</v>
      </c>
      <c r="G98" s="1">
        <v>3</v>
      </c>
      <c r="H98" s="1" t="str">
        <v>AI/LLM</v>
      </c>
    </row>
  </sheetData>
  <autoFilter ref="B2:H92" xr:uid="{EC445499-BF74-496C-B8F9-701E295E6398}"/>
  <conditionalFormatting sqref="D3">
    <cfRule type="colorScale" priority="6">
      <colorScale>
        <cfvo type="min"/>
        <cfvo type="percentile" val="50"/>
        <cfvo type="max"/>
        <color rgb="FFFDE4DF"/>
        <color rgb="FFFFF7D1"/>
        <color rgb="FFC9EFE4"/>
      </colorScale>
    </cfRule>
  </conditionalFormatting>
  <conditionalFormatting sqref="D3:G200">
    <cfRule type="cellIs" dxfId="4" priority="1" stopIfTrue="1" operator="equal">
      <formula>1</formula>
    </cfRule>
    <cfRule type="cellIs" dxfId="3" priority="2" stopIfTrue="1" operator="equal">
      <formula>2</formula>
    </cfRule>
    <cfRule type="cellIs" dxfId="2" priority="3" stopIfTrue="1" operator="equal">
      <formula>3</formula>
    </cfRule>
    <cfRule type="cellIs" dxfId="1" priority="4" stopIfTrue="1" operator="equal">
      <formula>4</formula>
    </cfRule>
    <cfRule type="cellIs" dxfId="0" priority="5" stopIfTrue="1" operator="equal">
      <formula>5</formula>
    </cfRule>
  </conditionalFormatting>
  <conditionalFormatting sqref="D4:G100 E3:G3">
    <cfRule type="colorScale" priority="7">
      <colorScale>
        <cfvo type="min"/>
        <cfvo type="percentile" val="50"/>
        <cfvo type="max"/>
        <color rgb="FFFDE4DF"/>
        <color rgb="FFFFF7D1"/>
        <color rgb="FFC9EFE4"/>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FAF74891EDBA54380DC7FD73AB668D8" ma:contentTypeVersion="13" ma:contentTypeDescription="Create a new document." ma:contentTypeScope="" ma:versionID="06c66d0a141d411a2be26efd0d16e59b">
  <xsd:schema xmlns:xsd="http://www.w3.org/2001/XMLSchema" xmlns:xs="http://www.w3.org/2001/XMLSchema" xmlns:p="http://schemas.microsoft.com/office/2006/metadata/properties" xmlns:ns2="608238e9-01c8-4353-83cc-88719958acf2" xmlns:ns3="1987473b-1f5f-465a-b578-a9c2f1bfe100" targetNamespace="http://schemas.microsoft.com/office/2006/metadata/properties" ma:root="true" ma:fieldsID="2cfaae7b47617b0b882915fb151c1753" ns2:_="" ns3:_="">
    <xsd:import namespace="608238e9-01c8-4353-83cc-88719958acf2"/>
    <xsd:import namespace="1987473b-1f5f-465a-b578-a9c2f1bfe10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8238e9-01c8-4353-83cc-88719958ac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8901d5a-dad6-4e97-b981-43620b20f86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87473b-1f5f-465a-b578-a9c2f1bfe10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ff7ca9a-d155-4604-87c9-15e3616c52df}" ma:internalName="TaxCatchAll" ma:showField="CatchAllData" ma:web="1987473b-1f5f-465a-b578-a9c2f1bfe1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08238e9-01c8-4353-83cc-88719958acf2">
      <Terms xmlns="http://schemas.microsoft.com/office/infopath/2007/PartnerControls"/>
    </lcf76f155ced4ddcb4097134ff3c332f>
    <TaxCatchAll xmlns="1987473b-1f5f-465a-b578-a9c2f1bfe100" xsi:nil="true"/>
  </documentManagement>
</p:properties>
</file>

<file path=customXml/itemProps1.xml><?xml version="1.0" encoding="utf-8"?>
<ds:datastoreItem xmlns:ds="http://schemas.openxmlformats.org/officeDocument/2006/customXml" ds:itemID="{412DEFE8-DD3B-439E-98C8-82D732DD510E}"/>
</file>

<file path=customXml/itemProps2.xml><?xml version="1.0" encoding="utf-8"?>
<ds:datastoreItem xmlns:ds="http://schemas.openxmlformats.org/officeDocument/2006/customXml" ds:itemID="{18A19705-2B65-4A17-9055-D076B9FFA313}"/>
</file>

<file path=customXml/itemProps3.xml><?xml version="1.0" encoding="utf-8"?>
<ds:datastoreItem xmlns:ds="http://schemas.openxmlformats.org/officeDocument/2006/customXml" ds:itemID="{C080ADC7-D0F3-43DB-9C99-55B403575893}"/>
</file>

<file path=customXml/itemProps4.xml><?xml version="1.0" encoding="utf-8"?>
<ds:datastoreItem xmlns:ds="http://schemas.openxmlformats.org/officeDocument/2006/customXml" ds:itemID="{2245F3AB-F51B-430F-8CFF-A15A44434E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Serhii Harntsarik</dc:creator>
  <cp:keywords/>
  <dc:description/>
  <cp:lastModifiedBy>Mykhaylo Gnatyev</cp:lastModifiedBy>
  <cp:revision/>
  <dcterms:created xsi:type="dcterms:W3CDTF">2022-04-13T14:04:46Z</dcterms:created>
  <dcterms:modified xsi:type="dcterms:W3CDTF">2026-02-15T13:08:01Z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0x0101006FAF74891EDBA54380DC7FD73AB668D8</vt:lpwstr>
  </property>
  <property fmtid="{D5CDD505-2E9C-101B-9397-08002B2CF9AE}" pid="3" name="MSIP_Label_15db3960-dca7-4158-84f7-549b34d4167e_Enabled">
    <vt:lpwstr>True</vt:lpwstr>
  </property>
  <property fmtid="{D5CDD505-2E9C-101B-9397-08002B2CF9AE}" pid="4" name="MSIP_Label_15db3960-dca7-4158-84f7-549b34d4167e_SiteId">
    <vt:lpwstr>1a54e107-6999-4f70-acdb-194c649c72f2</vt:lpwstr>
  </property>
  <property fmtid="{D5CDD505-2E9C-101B-9397-08002B2CF9AE}" pid="5" name="MSIP_Label_15db3960-dca7-4158-84f7-549b34d4167e_SetDate">
    <vt:lpwstr>2024-09-12T11:44:51Z</vt:lpwstr>
  </property>
  <property fmtid="{D5CDD505-2E9C-101B-9397-08002B2CF9AE}" pid="6" name="MSIP_Label_15db3960-dca7-4158-84f7-549b34d4167e_Name">
    <vt:lpwstr>Confidential \ ELEKS's Confidential</vt:lpwstr>
  </property>
  <property fmtid="{D5CDD505-2E9C-101B-9397-08002B2CF9AE}" pid="7" name="MSIP_Label_15db3960-dca7-4158-84f7-549b34d4167e_ActionId">
    <vt:lpwstr>78d9b818-ea49-4a18-a509-a116f2c75694</vt:lpwstr>
  </property>
  <property fmtid="{D5CDD505-2E9C-101B-9397-08002B2CF9AE}" pid="8" name="MSIP_Label_15db3960-dca7-4158-84f7-549b34d4167e_Removed">
    <vt:lpwstr>False</vt:lpwstr>
  </property>
  <property fmtid="{D5CDD505-2E9C-101B-9397-08002B2CF9AE}" pid="9" name="MSIP_Label_15db3960-dca7-4158-84f7-549b34d4167e_Parent">
    <vt:lpwstr>018d713d-0049-403f-aafc-1c5b5e73524c</vt:lpwstr>
  </property>
  <property fmtid="{D5CDD505-2E9C-101B-9397-08002B2CF9AE}" pid="10" name="MSIP_Label_15db3960-dca7-4158-84f7-549b34d4167e_Extended_MSFT_Method">
    <vt:lpwstr>Standard</vt:lpwstr>
  </property>
  <property fmtid="{D5CDD505-2E9C-101B-9397-08002B2CF9AE}" pid="11" name="MSIP_Label_018d713d-0049-403f-aafc-1c5b5e73524c_Enabled">
    <vt:lpwstr>True</vt:lpwstr>
  </property>
  <property fmtid="{D5CDD505-2E9C-101B-9397-08002B2CF9AE}" pid="12" name="MSIP_Label_018d713d-0049-403f-aafc-1c5b5e73524c_SiteId">
    <vt:lpwstr>1a54e107-6999-4f70-acdb-194c649c72f2</vt:lpwstr>
  </property>
  <property fmtid="{D5CDD505-2E9C-101B-9397-08002B2CF9AE}" pid="13" name="MSIP_Label_018d713d-0049-403f-aafc-1c5b5e73524c_SetDate">
    <vt:lpwstr>2024-09-12T11:44:51Z</vt:lpwstr>
  </property>
  <property fmtid="{D5CDD505-2E9C-101B-9397-08002B2CF9AE}" pid="14" name="MSIP_Label_018d713d-0049-403f-aafc-1c5b5e73524c_Name">
    <vt:lpwstr>Confidential</vt:lpwstr>
  </property>
  <property fmtid="{D5CDD505-2E9C-101B-9397-08002B2CF9AE}" pid="15" name="MSIP_Label_018d713d-0049-403f-aafc-1c5b5e73524c_ActionId">
    <vt:lpwstr>00245b96-6d3a-4aed-bcee-98c7bc741c86</vt:lpwstr>
  </property>
  <property fmtid="{D5CDD505-2E9C-101B-9397-08002B2CF9AE}" pid="16" name="MSIP_Label_018d713d-0049-403f-aafc-1c5b5e73524c_Extended_MSFT_Method">
    <vt:lpwstr>Standard</vt:lpwstr>
  </property>
  <property fmtid="{D5CDD505-2E9C-101B-9397-08002B2CF9AE}" pid="17" name="Sensitivity">
    <vt:lpwstr>Confidential \ ELEKS's Confidential Confidential</vt:lpwstr>
  </property>
  <property fmtid="{D5CDD505-2E9C-101B-9397-08002B2CF9AE}" pid="18" name="MediaServiceImageTags">
    <vt:lpwstr/>
  </property>
</Properties>
</file>